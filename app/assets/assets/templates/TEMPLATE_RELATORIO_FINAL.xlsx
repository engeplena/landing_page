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MATERIAIS" sheetId="2" r:id="rId6"/>
    <sheet state="visible" name="MAO_OBRA" sheetId="3" r:id="rId7"/>
    <sheet state="visible" name="DETALHADO" sheetId="4" r:id="rId8"/>
    <sheet state="visible" name="DADOS_GRAFICOS" sheetId="5" r:id="rId9"/>
  </sheets>
  <definedNames/>
  <calcPr/>
</workbook>
</file>

<file path=xl/sharedStrings.xml><?xml version="1.0" encoding="utf-8"?>
<sst xmlns="http://schemas.openxmlformats.org/spreadsheetml/2006/main" count="67" uniqueCount="38">
  <si>
    <t>RESUMO DA OBRA</t>
  </si>
  <si>
    <t>Cliente:</t>
  </si>
  <si>
    <t>Obra:</t>
  </si>
  <si>
    <t>Data:</t>
  </si>
  <si>
    <t>ID:</t>
  </si>
  <si>
    <t>TOTAL MATERIAIS</t>
  </si>
  <si>
    <t>TOTAL MÃO DE OBRA</t>
  </si>
  <si>
    <t>CUSTO TOTAL DA OBRA</t>
  </si>
  <si>
    <t>CUSTOS DE MATERIAIS</t>
  </si>
  <si>
    <t>RELAÇÃO DE MATERIAIS</t>
  </si>
  <si>
    <t>Código</t>
  </si>
  <si>
    <t>Descrição do serviço</t>
  </si>
  <si>
    <t>Quantidade</t>
  </si>
  <si>
    <t>Unidade</t>
  </si>
  <si>
    <t>Valor Unitário</t>
  </si>
  <si>
    <t>Valor Serviço</t>
  </si>
  <si>
    <t>CUSTOS DE MÃO DE OBRA</t>
  </si>
  <si>
    <t>RELAÇÃO DE MÃO DE OBRA</t>
  </si>
  <si>
    <t>Descrição da atividade</t>
  </si>
  <si>
    <t>CUSTOS DE MATERIAIS E MÃO DE OBRA</t>
  </si>
  <si>
    <t>Sr. Fulano da Silva</t>
  </si>
  <si>
    <t>Resindencial da Acácias</t>
  </si>
  <si>
    <t>OBRA-2024-089</t>
  </si>
  <si>
    <t>RELAÇÃO DETALHADA DE ITENS E SERVIÇOS</t>
  </si>
  <si>
    <t>MATERIAL</t>
  </si>
  <si>
    <t>MÃO DE OBRA</t>
  </si>
  <si>
    <t>TOTAL</t>
  </si>
  <si>
    <t>OBS</t>
  </si>
  <si>
    <t>SERV-0001</t>
  </si>
  <si>
    <t>Instalação elétrica quarto</t>
  </si>
  <si>
    <t>m²</t>
  </si>
  <si>
    <t>Observação</t>
  </si>
  <si>
    <t>Total da Planilha - Valores de PURO</t>
  </si>
  <si>
    <t xml:space="preserve"> </t>
  </si>
  <si>
    <t>Tipo de Custo</t>
  </si>
  <si>
    <t>Total</t>
  </si>
  <si>
    <t xml:space="preserve">Material
</t>
  </si>
  <si>
    <t>Mão de Obra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</si>
</sst>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20">
    <font>
      <sz val="10.0"/>
      <color rgb="FF000000"/>
      <name val="Arial"/>
      <scheme val="minor"/>
    </font>
    <font>
      <sz val="10.0"/>
      <color theme="1"/>
      <name val="Arial"/>
    </font>
    <font>
      <b/>
      <sz val="30.0"/>
      <color rgb="FF2D3F2F"/>
      <name val="Roboto"/>
    </font>
    <font>
      <sz val="14.0"/>
      <color rgb="FF2D3F2F"/>
      <name val="Roboto"/>
    </font>
    <font>
      <b/>
      <sz val="16.0"/>
      <color theme="1"/>
      <name val="Roboto"/>
    </font>
    <font/>
    <font>
      <color theme="1"/>
      <name val="Arial"/>
    </font>
    <font>
      <b/>
      <sz val="14.0"/>
      <color rgb="FF57BB8A"/>
      <name val="Roboto"/>
    </font>
    <font>
      <b/>
      <sz val="24.0"/>
      <color theme="1"/>
      <name val="Roboto"/>
    </font>
    <font>
      <sz val="14.0"/>
      <color theme="1"/>
      <name val="Roboto"/>
    </font>
    <font>
      <b/>
      <sz val="18.0"/>
      <color rgb="FF2D3F2F"/>
      <name val="Roboto"/>
    </font>
    <font>
      <b/>
      <sz val="12.0"/>
      <color rgb="FFFFFFFF"/>
      <name val="Roboto"/>
    </font>
    <font>
      <sz val="10.0"/>
      <color rgb="FF000000"/>
      <name val="Arial"/>
    </font>
    <font>
      <sz val="10.0"/>
      <color rgb="FF000000"/>
      <name val="Roboto"/>
    </font>
    <font>
      <sz val="10.0"/>
      <color theme="1"/>
      <name val="Roboto"/>
    </font>
    <font>
      <color theme="1"/>
      <name val="Arial"/>
      <scheme val="minor"/>
    </font>
    <font>
      <b/>
      <sz val="14.0"/>
      <color rgb="FF1B5E20"/>
      <name val="Roboto"/>
    </font>
    <font>
      <b/>
      <sz val="10.0"/>
      <color rgb="FFFFFFFF"/>
      <name val="Roboto"/>
    </font>
    <font>
      <color theme="1"/>
      <name val="Roboto"/>
    </font>
    <font>
      <b/>
      <color rgb="FFFFFF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B5E20"/>
        <bgColor rgb="FF1B5E20"/>
      </patternFill>
    </fill>
    <fill>
      <patternFill patternType="solid">
        <fgColor rgb="FFF6F8F9"/>
        <bgColor rgb="FFF6F8F9"/>
      </patternFill>
    </fill>
  </fills>
  <borders count="12">
    <border/>
    <border>
      <bottom style="thick">
        <color rgb="FF1B5E20"/>
      </bottom>
    </border>
    <border>
      <left style="thick">
        <color rgb="FF1B5E20"/>
      </left>
      <right style="thick">
        <color rgb="FF1B5E20"/>
      </right>
      <top style="thick">
        <color rgb="FF1B5E20"/>
      </top>
    </border>
    <border>
      <left style="thick">
        <color rgb="FF1B5E20"/>
      </left>
      <top style="thick">
        <color rgb="FF1B5E20"/>
      </top>
    </border>
    <border>
      <top style="thick">
        <color rgb="FF1B5E20"/>
      </top>
    </border>
    <border>
      <right style="thick">
        <color rgb="FF1B5E20"/>
      </right>
      <top style="thick">
        <color rgb="FF1B5E20"/>
      </top>
    </border>
    <border>
      <left style="thick">
        <color rgb="FF1B5E20"/>
      </left>
      <right style="thick">
        <color rgb="FF1B5E20"/>
      </right>
    </border>
    <border>
      <left style="thick">
        <color rgb="FF1B5E20"/>
      </left>
    </border>
    <border>
      <right style="thick">
        <color rgb="FF1B5E20"/>
      </right>
    </border>
    <border>
      <left style="thick">
        <color rgb="FF1B5E20"/>
      </left>
      <right style="thick">
        <color rgb="FF1B5E20"/>
      </right>
      <bottom style="thick">
        <color rgb="FF1B5E20"/>
      </bottom>
    </border>
    <border>
      <left style="thick">
        <color rgb="FF1B5E20"/>
      </left>
      <bottom style="thick">
        <color rgb="FF1B5E20"/>
      </bottom>
    </border>
    <border>
      <right style="thick">
        <color rgb="FF1B5E20"/>
      </right>
      <bottom style="thick">
        <color rgb="FF1B5E2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2" fontId="3" numFmtId="0" xfId="0" applyAlignment="1" applyFill="1" applyFont="1">
      <alignment shrinkToFit="0" wrapText="0"/>
    </xf>
    <xf borderId="0" fillId="2" fontId="4" numFmtId="0" xfId="0" applyAlignment="1" applyFont="1">
      <alignment horizontal="left" shrinkToFit="0" wrapText="0"/>
    </xf>
    <xf borderId="0" fillId="2" fontId="4" numFmtId="164" xfId="0" applyAlignment="1" applyFont="1" applyNumberFormat="1">
      <alignment horizontal="left" shrinkToFit="0" wrapText="0"/>
    </xf>
    <xf borderId="1" fillId="0" fontId="5" numFmtId="0" xfId="0" applyBorder="1" applyFont="1"/>
    <xf borderId="1" fillId="2" fontId="3" numFmtId="0" xfId="0" applyAlignment="1" applyBorder="1" applyFont="1">
      <alignment shrinkToFit="0" wrapText="0"/>
    </xf>
    <xf borderId="1" fillId="2" fontId="4" numFmtId="0" xfId="0" applyAlignment="1" applyBorder="1" applyFont="1">
      <alignment horizontal="left" shrinkToFit="0" wrapText="0"/>
    </xf>
    <xf borderId="0" fillId="2" fontId="6" numFmtId="0" xfId="0" applyAlignment="1" applyFont="1">
      <alignment shrinkToFit="0" wrapText="0"/>
    </xf>
    <xf borderId="0" fillId="2" fontId="6" numFmtId="0" xfId="0" applyFont="1"/>
    <xf borderId="2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6" fillId="0" fontId="8" numFmtId="165" xfId="0" applyAlignment="1" applyBorder="1" applyFont="1" applyNumberFormat="1">
      <alignment horizontal="center" vertical="center"/>
    </xf>
    <xf borderId="7" fillId="0" fontId="8" numFmtId="165" xfId="0" applyAlignment="1" applyBorder="1" applyFont="1" applyNumberForma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0" fillId="0" fontId="2" numFmtId="0" xfId="0" applyAlignment="1" applyFont="1">
      <alignment horizontal="left" shrinkToFit="0" vertical="center" wrapText="0"/>
    </xf>
    <xf borderId="0" fillId="2" fontId="9" numFmtId="0" xfId="0" applyAlignment="1" applyFont="1">
      <alignment horizontal="left" shrinkToFit="0" wrapText="0"/>
    </xf>
    <xf borderId="0" fillId="2" fontId="10" numFmtId="0" xfId="0" applyAlignment="1" applyFont="1">
      <alignment horizontal="center" shrinkToFit="0" vertical="center" wrapText="0"/>
    </xf>
    <xf borderId="0" fillId="3" fontId="11" numFmtId="0" xfId="0" applyAlignment="1" applyFill="1" applyFont="1">
      <alignment horizontal="left" shrinkToFit="0" vertical="center" wrapText="0"/>
    </xf>
    <xf borderId="0" fillId="3" fontId="11" numFmtId="0" xfId="0" applyAlignment="1" applyFont="1">
      <alignment horizontal="left" vertical="center"/>
    </xf>
    <xf borderId="0" fillId="2" fontId="12" numFmtId="165" xfId="0" applyFont="1" applyNumberFormat="1"/>
    <xf borderId="0" fillId="4" fontId="13" numFmtId="0" xfId="0" applyAlignment="1" applyFill="1" applyFont="1">
      <alignment horizontal="left" shrinkToFit="0" vertical="center" wrapText="0"/>
    </xf>
    <xf borderId="0" fillId="4" fontId="13" numFmtId="0" xfId="0" applyAlignment="1" applyFont="1">
      <alignment horizontal="right" shrinkToFit="0" vertical="center" wrapText="0"/>
    </xf>
    <xf borderId="0" fillId="4" fontId="13" numFmtId="0" xfId="0" applyAlignment="1" applyFont="1">
      <alignment horizontal="center" shrinkToFit="0" vertical="center" wrapText="0"/>
    </xf>
    <xf borderId="0" fillId="4" fontId="13" numFmtId="165" xfId="0" applyAlignment="1" applyFont="1" applyNumberFormat="1">
      <alignment horizontal="right" shrinkToFit="0" vertical="center" wrapText="0"/>
    </xf>
    <xf borderId="0" fillId="4" fontId="13" numFmtId="165" xfId="0" applyAlignment="1" applyFont="1" applyNumberFormat="1">
      <alignment horizontal="right"/>
    </xf>
    <xf borderId="0" fillId="4" fontId="12" numFmtId="165" xfId="0" applyFont="1" applyNumberFormat="1"/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165" xfId="0" applyFont="1" applyNumberFormat="1"/>
    <xf borderId="0" fillId="0" fontId="14" numFmtId="165" xfId="0" applyAlignment="1" applyFont="1" applyNumberFormat="1">
      <alignment horizontal="right"/>
    </xf>
    <xf borderId="0" fillId="0" fontId="12" numFmtId="165" xfId="0" applyFont="1" applyNumberFormat="1"/>
    <xf borderId="0" fillId="0" fontId="15" numFmtId="0" xfId="0" applyFont="1"/>
    <xf borderId="0" fillId="2" fontId="4" numFmtId="164" xfId="0" applyAlignment="1" applyFont="1" applyNumberFormat="1">
      <alignment horizontal="left"/>
    </xf>
    <xf borderId="1" fillId="2" fontId="4" numFmtId="0" xfId="0" applyAlignment="1" applyBorder="1" applyFont="1">
      <alignment horizontal="left"/>
    </xf>
    <xf borderId="0" fillId="2" fontId="16" numFmtId="0" xfId="0" applyAlignment="1" applyFont="1">
      <alignment horizontal="center" shrinkToFit="0" vertical="center" wrapText="0"/>
    </xf>
    <xf borderId="0" fillId="2" fontId="16" numFmtId="0" xfId="0" applyAlignment="1" applyFont="1">
      <alignment horizontal="center" vertical="center"/>
    </xf>
    <xf borderId="0" fillId="3" fontId="17" numFmtId="0" xfId="0" applyAlignment="1" applyFont="1">
      <alignment horizontal="left" shrinkToFit="0" vertical="center" wrapText="0"/>
    </xf>
    <xf borderId="0" fillId="3" fontId="17" numFmtId="0" xfId="0" applyAlignment="1" applyFont="1">
      <alignment horizontal="left" vertical="center"/>
    </xf>
    <xf borderId="0" fillId="2" fontId="13" numFmtId="0" xfId="0" applyAlignment="1" applyFont="1">
      <alignment horizontal="left" shrinkToFit="0" vertical="center" wrapText="0"/>
    </xf>
    <xf borderId="0" fillId="2" fontId="13" numFmtId="0" xfId="0" applyAlignment="1" applyFont="1">
      <alignment horizontal="right" shrinkToFit="0" vertical="center" wrapText="0"/>
    </xf>
    <xf borderId="0" fillId="2" fontId="13" numFmtId="0" xfId="0" applyAlignment="1" applyFont="1">
      <alignment horizontal="center" shrinkToFit="0" vertical="center" wrapText="0"/>
    </xf>
    <xf borderId="0" fillId="2" fontId="13" numFmtId="165" xfId="0" applyAlignment="1" applyFont="1" applyNumberFormat="1">
      <alignment horizontal="right" readingOrder="0" shrinkToFit="0" vertical="center" wrapText="0"/>
    </xf>
    <xf borderId="0" fillId="2" fontId="13" numFmtId="165" xfId="0" applyAlignment="1" applyFont="1" applyNumberFormat="1">
      <alignment horizontal="right"/>
    </xf>
    <xf borderId="0" fillId="2" fontId="13" numFmtId="165" xfId="0" applyAlignment="1" applyFont="1" applyNumberFormat="1">
      <alignment horizontal="right" shrinkToFit="0" vertical="center" wrapText="0"/>
    </xf>
    <xf borderId="0" fillId="0" fontId="13" numFmtId="165" xfId="0" applyAlignment="1" applyFont="1" applyNumberFormat="1">
      <alignment horizontal="right"/>
    </xf>
    <xf borderId="0" fillId="3" fontId="11" numFmtId="0" xfId="0" applyAlignment="1" applyFont="1">
      <alignment horizontal="right" shrinkToFit="0" vertical="center" wrapText="0"/>
    </xf>
    <xf borderId="0" fillId="3" fontId="11" numFmtId="0" xfId="0" applyAlignment="1" applyFont="1">
      <alignment horizontal="center" shrinkToFit="0" vertical="center" wrapText="0"/>
    </xf>
    <xf borderId="0" fillId="3" fontId="11" numFmtId="165" xfId="0" applyAlignment="1" applyFont="1" applyNumberFormat="1">
      <alignment horizontal="right" shrinkToFit="0" vertical="center" wrapText="0"/>
    </xf>
    <xf borderId="0" fillId="3" fontId="11" numFmtId="165" xfId="0" applyAlignment="1" applyFont="1" applyNumberFormat="1">
      <alignment horizontal="right" vertical="center"/>
    </xf>
    <xf borderId="0" fillId="3" fontId="11" numFmtId="0" xfId="0" applyAlignment="1" applyFont="1">
      <alignment vertical="center"/>
    </xf>
    <xf borderId="0" fillId="2" fontId="18" numFmtId="0" xfId="0" applyFont="1"/>
    <xf borderId="0" fillId="0" fontId="18" numFmtId="0" xfId="0" applyFont="1"/>
    <xf borderId="0" fillId="4" fontId="18" numFmtId="0" xfId="0" applyFont="1"/>
    <xf borderId="0" fillId="0" fontId="15" numFmtId="0" xfId="0" applyAlignment="1" applyFont="1">
      <alignment readingOrder="0"/>
    </xf>
    <xf borderId="0" fillId="3" fontId="19" numFmtId="0" xfId="0" applyAlignment="1" applyFont="1">
      <alignment horizontal="center" shrinkToFit="0" vertical="center" wrapText="0"/>
    </xf>
    <xf borderId="0" fillId="3" fontId="19" numFmtId="0" xfId="0" applyAlignment="1" applyFont="1">
      <alignment horizontal="center"/>
    </xf>
    <xf borderId="0" fillId="0" fontId="18" numFmtId="0" xfId="0" applyAlignment="1" applyFont="1">
      <alignment shrinkToFit="0" vertical="center" wrapText="0"/>
    </xf>
    <xf borderId="0" fillId="0" fontId="18" numFmtId="165" xfId="0" applyAlignment="1" applyFont="1" applyNumberFormat="1">
      <alignment shrinkToFit="0" vertical="center" wrapText="0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solid">
          <fgColor rgb="FFAACBC4"/>
          <bgColor rgb="FFAACBC4"/>
        </patternFill>
      </fill>
      <border/>
    </dxf>
    <dxf>
      <font>
        <b/>
        <color rgb="FFFFFFFF"/>
      </font>
      <fill>
        <patternFill patternType="solid">
          <fgColor rgb="FF1B5E20"/>
          <bgColor rgb="FF1B5E2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DADOS_GRAFICOS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800">
                <a:solidFill>
                  <a:schemeClr val="dk1"/>
                </a:solidFill>
                <a:latin typeface="Roboto"/>
              </a:defRPr>
            </a:pPr>
            <a:r>
              <a:rPr b="1" i="0" sz="2800">
                <a:solidFill>
                  <a:schemeClr val="dk1"/>
                </a:solidFill>
                <a:latin typeface="Roboto"/>
              </a:rPr>
              <a:t>Composição do Custo Total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DADOS_GRAFICOS!$B$3</c:f>
            </c:strRef>
          </c:tx>
          <c:dPt>
            <c:idx val="0"/>
            <c:spPr>
              <a:solidFill>
                <a:srgbClr val="57BB8A"/>
              </a:solidFill>
            </c:spPr>
          </c:dPt>
          <c:dPt>
            <c:idx val="1"/>
            <c:spPr>
              <a:solidFill>
                <a:srgbClr val="AACBC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DADOS_GRAFICOS!$A$4:$A$5</c:f>
            </c:strRef>
          </c:cat>
          <c:val>
            <c:numRef>
              <c:f>DADOS_GRAFICOS!$B$4:$B$5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2400">
              <a:solidFill>
                <a:schemeClr val="dk1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800">
                <a:solidFill>
                  <a:schemeClr val="dk1"/>
                </a:solidFill>
                <a:latin typeface="Roboto"/>
              </a:defRPr>
            </a:pPr>
            <a:r>
              <a:rPr b="1" sz="2800">
                <a:solidFill>
                  <a:schemeClr val="dk1"/>
                </a:solidFill>
                <a:latin typeface="Roboto"/>
              </a:rPr>
              <a:t>Valor Total versus Serviço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DADOS_GRAFICOS!$L$3</c:f>
            </c:strRef>
          </c:tx>
          <c:spPr>
            <a:solidFill>
              <a:srgbClr val="57BB8A"/>
            </a:solidFill>
            <a:ln cmpd="sng">
              <a:solidFill>
                <a:srgbClr val="000000"/>
              </a:solidFill>
            </a:ln>
          </c:spPr>
          <c:dLbls>
            <c:numFmt formatCode="[$R$ -416]#,##0.0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DADOS_GRAFICOS!$K$4:$K$1000</c:f>
            </c:strRef>
          </c:cat>
          <c:val>
            <c:numRef>
              <c:f>DADOS_GRAFICOS!$L$4:$L$1000</c:f>
              <c:numCache/>
            </c:numRef>
          </c:val>
        </c:ser>
        <c:axId val="935012301"/>
        <c:axId val="100919735"/>
      </c:bar3DChart>
      <c:catAx>
        <c:axId val="9350123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Serviço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dk1"/>
                </a:solidFill>
                <a:latin typeface="Roboto"/>
              </a:defRPr>
            </a:pPr>
          </a:p>
        </c:txPr>
        <c:crossAx val="100919735"/>
      </c:catAx>
      <c:valAx>
        <c:axId val="1009197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Valor Total</a:t>
                </a:r>
              </a:p>
            </c:rich>
          </c:tx>
          <c:overlay val="0"/>
        </c:title>
        <c:numFmt formatCode="[$R$ -416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600">
                <a:solidFill>
                  <a:schemeClr val="dk1"/>
                </a:solidFill>
                <a:latin typeface="Roboto"/>
              </a:defRPr>
            </a:pPr>
          </a:p>
        </c:txPr>
        <c:crossAx val="935012301"/>
        <c:crosses val="max"/>
      </c:valAx>
    </c:plotArea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800">
                <a:solidFill>
                  <a:schemeClr val="dk1"/>
                </a:solidFill>
                <a:latin typeface="Roboto"/>
              </a:defRPr>
            </a:pPr>
            <a:r>
              <a:rPr b="1" sz="2800">
                <a:solidFill>
                  <a:schemeClr val="dk1"/>
                </a:solidFill>
                <a:latin typeface="Roboto"/>
              </a:rPr>
              <a:t>Valor Total versus Serviço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DADOS_GRAFICOS!$L$3</c:f>
            </c:strRef>
          </c:tx>
          <c:spPr>
            <a:solidFill>
              <a:srgbClr val="57BB8A"/>
            </a:solidFill>
            <a:ln cmpd="sng">
              <a:solidFill>
                <a:srgbClr val="000000"/>
              </a:solidFill>
            </a:ln>
          </c:spPr>
          <c:dLbls>
            <c:numFmt formatCode="[$R$ -416]#,##0.0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DADOS_GRAFICOS!$K$4:$K$1000</c:f>
            </c:strRef>
          </c:cat>
          <c:val>
            <c:numRef>
              <c:f>DADOS_GRAFICOS!$L$4:$L$1000</c:f>
              <c:numCache/>
            </c:numRef>
          </c:val>
        </c:ser>
        <c:axId val="254443878"/>
        <c:axId val="1883740642"/>
      </c:bar3DChart>
      <c:catAx>
        <c:axId val="2544438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Serviço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dk1"/>
                </a:solidFill>
                <a:latin typeface="Roboto"/>
              </a:defRPr>
            </a:pPr>
          </a:p>
        </c:txPr>
        <c:crossAx val="1883740642"/>
      </c:catAx>
      <c:valAx>
        <c:axId val="18837406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Valor Total</a:t>
                </a:r>
              </a:p>
            </c:rich>
          </c:tx>
          <c:overlay val="0"/>
        </c:title>
        <c:numFmt formatCode="[$R$ -416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600">
                <a:solidFill>
                  <a:schemeClr val="dk1"/>
                </a:solidFill>
                <a:latin typeface="Roboto"/>
              </a:defRPr>
            </a:pPr>
          </a:p>
        </c:txPr>
        <c:crossAx val="254443878"/>
        <c:crosses val="max"/>
      </c:valAx>
    </c:plotArea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800">
                <a:solidFill>
                  <a:schemeClr val="dk1"/>
                </a:solidFill>
                <a:latin typeface="Roboto"/>
              </a:defRPr>
            </a:pPr>
            <a:r>
              <a:rPr b="1" i="0" sz="2800">
                <a:solidFill>
                  <a:schemeClr val="dk1"/>
                </a:solidFill>
                <a:latin typeface="Roboto"/>
              </a:rPr>
              <a:t>Composição do Custo Total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DADOS_GRAFICOS!$B$3</c:f>
            </c:strRef>
          </c:tx>
          <c:dPt>
            <c:idx val="0"/>
            <c:spPr>
              <a:solidFill>
                <a:srgbClr val="57BB8A"/>
              </a:solidFill>
            </c:spPr>
          </c:dPt>
          <c:dPt>
            <c:idx val="1"/>
            <c:spPr>
              <a:solidFill>
                <a:srgbClr val="AACBC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DADOS_GRAFICOS!$A$4:$A$5</c:f>
            </c:strRef>
          </c:cat>
          <c:val>
            <c:numRef>
              <c:f>DADOS_GRAFICOS!$B$4:$B$5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 sz="2400">
              <a:solidFill>
                <a:schemeClr val="dk1"/>
              </a:solidFill>
              <a:latin typeface="Roboto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9525</xdr:rowOff>
    </xdr:from>
    <xdr:ext cx="9744075" cy="58864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46</xdr:row>
      <xdr:rowOff>9525</xdr:rowOff>
    </xdr:from>
    <xdr:ext cx="9686925" cy="58864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485775</xdr:colOff>
      <xdr:row>0</xdr:row>
      <xdr:rowOff>95250</xdr:rowOff>
    </xdr:from>
    <xdr:ext cx="3009900" cy="17716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76200</xdr:rowOff>
    </xdr:from>
    <xdr:ext cx="3009900" cy="17716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85725</xdr:rowOff>
    </xdr:from>
    <xdr:ext cx="3009900" cy="17716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95250</xdr:rowOff>
    </xdr:from>
    <xdr:ext cx="3009900" cy="17716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742950</xdr:colOff>
      <xdr:row>0</xdr:row>
      <xdr:rowOff>0</xdr:rowOff>
    </xdr:from>
    <xdr:ext cx="9686925" cy="58864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9744075" cy="58864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5" displayName="Table_1" name="Table_1" id="1">
  <tableColumns count="2">
    <tableColumn name="Tipo de Custo" id="1"/>
    <tableColumn name="Total" id="2"/>
  </tableColumns>
  <tableStyleInfo name="DADOS_GRAFI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33.38"/>
    <col customWidth="1" min="3" max="4" width="12.63"/>
    <col customWidth="1" min="5" max="5" width="9.38"/>
    <col customWidth="1" min="6" max="6" width="12.13"/>
    <col customWidth="1" min="7" max="7" width="12.88"/>
    <col customWidth="1" min="8" max="8" width="13.13"/>
    <col customWidth="1" min="9" max="9" width="14.25"/>
    <col customWidth="1" min="10" max="10" width="7.75"/>
  </cols>
  <sheetData>
    <row r="1" ht="78.0" customHeight="1">
      <c r="A1" s="1"/>
      <c r="C1" s="2" t="s">
        <v>0</v>
      </c>
    </row>
    <row r="2">
      <c r="C2" s="3" t="s">
        <v>1</v>
      </c>
      <c r="D2" s="4" t="str">
        <f>DETALHADO!D2</f>
        <v>Sr. Fulano da Silva</v>
      </c>
    </row>
    <row r="3">
      <c r="C3" s="3" t="s">
        <v>2</v>
      </c>
      <c r="D3" s="4" t="str">
        <f>DETALHADO!D3</f>
        <v>Resindencial da Acácias</v>
      </c>
    </row>
    <row r="4">
      <c r="C4" s="3" t="s">
        <v>3</v>
      </c>
      <c r="D4" s="5">
        <f>DETALHADO!D4</f>
        <v>46056</v>
      </c>
    </row>
    <row r="5">
      <c r="A5" s="6"/>
      <c r="B5" s="6"/>
      <c r="C5" s="7" t="s">
        <v>4</v>
      </c>
      <c r="D5" s="8" t="str">
        <f>DETALHADO!D5</f>
        <v>OBRA-2024-089</v>
      </c>
      <c r="E5" s="6"/>
      <c r="F5" s="6"/>
      <c r="G5" s="6"/>
      <c r="H5" s="6"/>
      <c r="I5" s="6"/>
      <c r="J5" s="6"/>
    </row>
    <row r="6" ht="15.75" customHeight="1">
      <c r="A6" s="9"/>
      <c r="B6" s="9"/>
      <c r="C6" s="9"/>
      <c r="D6" s="9"/>
      <c r="E6" s="9"/>
      <c r="F6" s="9"/>
      <c r="G6" s="9"/>
      <c r="H6" s="9"/>
      <c r="I6" s="10"/>
      <c r="J6" s="10"/>
    </row>
    <row r="7" ht="15.75" customHeight="1"/>
    <row r="8" ht="15.75" customHeight="1">
      <c r="B8" s="11" t="s">
        <v>5</v>
      </c>
      <c r="D8" s="12" t="s">
        <v>6</v>
      </c>
      <c r="E8" s="13"/>
      <c r="F8" s="14"/>
      <c r="H8" s="12" t="s">
        <v>7</v>
      </c>
      <c r="I8" s="13"/>
      <c r="J8" s="14"/>
    </row>
    <row r="9" ht="15.75" customHeight="1">
      <c r="B9" s="15"/>
      <c r="D9" s="16"/>
      <c r="F9" s="17"/>
      <c r="H9" s="16"/>
      <c r="J9" s="17"/>
    </row>
    <row r="10" ht="15.75" customHeight="1">
      <c r="B10" s="15"/>
      <c r="D10" s="16"/>
      <c r="F10" s="17"/>
      <c r="H10" s="16"/>
      <c r="J10" s="17"/>
    </row>
    <row r="11" ht="15.75" customHeight="1">
      <c r="B11" s="15"/>
      <c r="D11" s="16"/>
      <c r="F11" s="17"/>
      <c r="H11" s="16"/>
      <c r="J11" s="17"/>
    </row>
    <row r="12" ht="15.75" customHeight="1">
      <c r="B12" s="18">
        <f>SUM(DETALHADO!F:F)/2</f>
        <v>1000</v>
      </c>
      <c r="D12" s="19">
        <f>SUM(DETALHADO!H:H)/2</f>
        <v>1500</v>
      </c>
      <c r="F12" s="17"/>
      <c r="H12" s="19">
        <f>SUM(DETALHADO!J:J)/2</f>
        <v>2500</v>
      </c>
      <c r="J12" s="17"/>
    </row>
    <row r="13" ht="15.75" customHeight="1">
      <c r="B13" s="15"/>
      <c r="D13" s="16"/>
      <c r="F13" s="17"/>
      <c r="H13" s="16"/>
      <c r="J13" s="17"/>
    </row>
    <row r="14" ht="15.75" customHeight="1">
      <c r="B14" s="15"/>
      <c r="D14" s="16"/>
      <c r="F14" s="17"/>
      <c r="H14" s="16"/>
      <c r="J14" s="17"/>
    </row>
    <row r="15" ht="15.75" customHeight="1">
      <c r="B15" s="20"/>
      <c r="D15" s="21"/>
      <c r="E15" s="6"/>
      <c r="F15" s="22"/>
      <c r="H15" s="21"/>
      <c r="I15" s="6"/>
      <c r="J15" s="22"/>
    </row>
    <row r="16" ht="24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2.75" customHeight="1"/>
    <row r="46" ht="22.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8:F11"/>
    <mergeCell ref="H8:J11"/>
    <mergeCell ref="B12:B15"/>
    <mergeCell ref="D12:F15"/>
    <mergeCell ref="H12:J15"/>
    <mergeCell ref="A1:B5"/>
    <mergeCell ref="C1:J1"/>
    <mergeCell ref="D2:J2"/>
    <mergeCell ref="D3:J3"/>
    <mergeCell ref="D4:J4"/>
    <mergeCell ref="D5:J5"/>
    <mergeCell ref="B8:B11"/>
  </mergeCells>
  <printOptions gridLines="1" horizontalCentered="1"/>
  <pageMargins bottom="0.75" footer="0.0" header="0.0" left="0.25" right="0.25" top="0.19685039370078738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9.0" topLeftCell="G10" activePane="bottomRight" state="frozen"/>
      <selection activeCell="G1" sqref="G1" pane="topRight"/>
      <selection activeCell="A10" sqref="A10" pane="bottomLeft"/>
      <selection activeCell="G10" sqref="G10" pane="bottomRight"/>
    </sheetView>
  </sheetViews>
  <sheetFormatPr customHeight="1" defaultColWidth="12.63" defaultRowHeight="15.0"/>
  <cols>
    <col customWidth="1" min="1" max="1" width="19.38"/>
    <col customWidth="1" min="2" max="2" width="33.38"/>
    <col customWidth="1" min="3" max="3" width="21.75"/>
    <col customWidth="1" min="4" max="4" width="12.63"/>
    <col customWidth="1" min="5" max="5" width="13.25"/>
    <col customWidth="1" min="6" max="6" width="17.75"/>
    <col customWidth="1" min="7" max="7" width="13.63"/>
    <col customWidth="1" min="8" max="8" width="15.88"/>
    <col customWidth="1" min="9" max="9" width="17.38"/>
    <col customWidth="1" min="10" max="10" width="15.88"/>
  </cols>
  <sheetData>
    <row r="1" ht="78.0" customHeight="1">
      <c r="A1" s="1"/>
      <c r="C1" s="2" t="s">
        <v>8</v>
      </c>
      <c r="G1" s="23"/>
      <c r="H1" s="23"/>
      <c r="I1" s="23"/>
      <c r="J1" s="23"/>
    </row>
    <row r="2">
      <c r="C2" s="3" t="s">
        <v>1</v>
      </c>
      <c r="D2" s="4" t="str">
        <f>DETALHADO!D2</f>
        <v>Sr. Fulano da Silva</v>
      </c>
      <c r="G2" s="24"/>
      <c r="H2" s="24"/>
      <c r="I2" s="24"/>
      <c r="J2" s="24"/>
    </row>
    <row r="3">
      <c r="C3" s="3" t="s">
        <v>2</v>
      </c>
      <c r="D3" s="4" t="str">
        <f>DETALHADO!D3</f>
        <v>Resindencial da Acácias</v>
      </c>
      <c r="G3" s="24"/>
      <c r="H3" s="24"/>
      <c r="I3" s="24"/>
      <c r="J3" s="24"/>
    </row>
    <row r="4">
      <c r="C4" s="3" t="s">
        <v>3</v>
      </c>
      <c r="D4" s="5">
        <f>DETALHADO!D4</f>
        <v>46056</v>
      </c>
      <c r="G4" s="24"/>
      <c r="H4" s="24"/>
      <c r="I4" s="24"/>
      <c r="J4" s="24"/>
    </row>
    <row r="5">
      <c r="A5" s="6"/>
      <c r="B5" s="6"/>
      <c r="C5" s="7" t="s">
        <v>4</v>
      </c>
      <c r="D5" s="8" t="str">
        <f>DETALHADO!D5</f>
        <v>OBRA-2024-089</v>
      </c>
      <c r="E5" s="6"/>
      <c r="F5" s="6"/>
      <c r="G5" s="24"/>
      <c r="H5" s="24"/>
      <c r="I5" s="24"/>
      <c r="J5" s="24"/>
    </row>
    <row r="6" ht="15.75" customHeight="1">
      <c r="A6" s="9"/>
      <c r="B6" s="9"/>
      <c r="C6" s="9"/>
      <c r="D6" s="9"/>
      <c r="E6" s="9"/>
      <c r="F6" s="9"/>
      <c r="G6" s="9"/>
      <c r="H6" s="9"/>
      <c r="I6" s="10"/>
      <c r="J6" s="10"/>
    </row>
    <row r="7">
      <c r="A7" s="25" t="s">
        <v>9</v>
      </c>
      <c r="G7" s="25"/>
      <c r="H7" s="25"/>
      <c r="I7" s="25"/>
      <c r="J7" s="25"/>
    </row>
    <row r="8" ht="15.75" customHeight="1">
      <c r="A8" s="9"/>
      <c r="B8" s="9"/>
      <c r="C8" s="9"/>
      <c r="D8" s="9"/>
      <c r="E8" s="9"/>
      <c r="F8" s="9"/>
      <c r="G8" s="9"/>
      <c r="H8" s="9"/>
      <c r="I8" s="10"/>
      <c r="J8" s="10"/>
    </row>
    <row r="9" ht="34.5" customHeight="1">
      <c r="A9" s="26" t="s">
        <v>10</v>
      </c>
      <c r="B9" s="26" t="s">
        <v>11</v>
      </c>
      <c r="C9" s="26" t="s">
        <v>12</v>
      </c>
      <c r="D9" s="26" t="s">
        <v>13</v>
      </c>
      <c r="E9" s="26" t="s">
        <v>14</v>
      </c>
      <c r="F9" s="27" t="s">
        <v>15</v>
      </c>
      <c r="G9" s="28"/>
    </row>
    <row r="10" ht="15.75" customHeight="1">
      <c r="A10" s="29" t="str">
        <f>IFERROR(__xludf.DUMMYFUNCTION("LET(
  dados, QUERY(DETALHADO!A11:K999, ""SELECT A, B, C, D, E, F WHERE E &gt; 0 AND A IS NOT NULL AND NOT A CONTAINS 'Total'"", 0),
  safe_dados, IFERROR(dados, {""Nenhum item"","""","""","""","""",""""}),
  total, SUM(INDEX(safe_dados,,6)),
  VSTACK(safe_d"&amp;"ados, HSTACK(""Total de Materiais"","""","""","""","""", TEXT(total, ""R$ #.##0,00"")))
)"),"SERV-0001")</f>
        <v>SERV-0001</v>
      </c>
      <c r="B10" s="29" t="str">
        <f>IFERROR(__xludf.DUMMYFUNCTION("""COMPUTED_VALUE"""),"Instalação elétrica quarto")</f>
        <v>Instalação elétrica quarto</v>
      </c>
      <c r="C10" s="30">
        <f>IFERROR(__xludf.DUMMYFUNCTION("""COMPUTED_VALUE"""),10.0)</f>
        <v>10</v>
      </c>
      <c r="D10" s="31" t="str">
        <f>IFERROR(__xludf.DUMMYFUNCTION("""COMPUTED_VALUE"""),"m²")</f>
        <v>m²</v>
      </c>
      <c r="E10" s="32">
        <f>IFERROR(__xludf.DUMMYFUNCTION("""COMPUTED_VALUE"""),100.0)</f>
        <v>100</v>
      </c>
      <c r="F10" s="33">
        <f>IFERROR(__xludf.DUMMYFUNCTION("""COMPUTED_VALUE"""),1000.0)</f>
        <v>1000</v>
      </c>
      <c r="G10" s="34"/>
    </row>
    <row r="11" ht="15.75" customHeight="1">
      <c r="A11" s="35" t="str">
        <f>IFERROR(__xludf.DUMMYFUNCTION("""COMPUTED_VALUE"""),"Total de Materiais")</f>
        <v>Total de Materiais</v>
      </c>
      <c r="B11" s="35" t="str">
        <f>IFERROR(__xludf.DUMMYFUNCTION("""COMPUTED_VALUE"""),"")</f>
        <v/>
      </c>
      <c r="C11" s="35" t="str">
        <f>IFERROR(__xludf.DUMMYFUNCTION("""COMPUTED_VALUE"""),"")</f>
        <v/>
      </c>
      <c r="D11" s="36" t="str">
        <f>IFERROR(__xludf.DUMMYFUNCTION("""COMPUTED_VALUE"""),"")</f>
        <v/>
      </c>
      <c r="E11" s="37" t="str">
        <f>IFERROR(__xludf.DUMMYFUNCTION("""COMPUTED_VALUE"""),"")</f>
        <v/>
      </c>
      <c r="F11" s="38" t="str">
        <f>IFERROR(__xludf.DUMMYFUNCTION("""COMPUTED_VALUE"""),"R$ 1.000,000")</f>
        <v>R$ 1.000,000</v>
      </c>
      <c r="G11" s="39"/>
    </row>
    <row r="12" ht="15.75" customHeight="1">
      <c r="A12" s="35"/>
      <c r="B12" s="35"/>
      <c r="C12" s="35"/>
      <c r="D12" s="36"/>
      <c r="E12" s="37"/>
      <c r="F12" s="38"/>
      <c r="G12" s="39"/>
    </row>
    <row r="13" ht="15.75" customHeight="1">
      <c r="A13" s="35"/>
      <c r="B13" s="35"/>
      <c r="C13" s="35"/>
      <c r="D13" s="36"/>
      <c r="E13" s="37"/>
      <c r="F13" s="38"/>
      <c r="G13" s="39"/>
    </row>
    <row r="14" ht="15.75" customHeight="1">
      <c r="A14" s="35"/>
      <c r="B14" s="35"/>
      <c r="C14" s="35"/>
      <c r="D14" s="36"/>
      <c r="E14" s="37"/>
      <c r="F14" s="38"/>
      <c r="G14" s="39"/>
    </row>
    <row r="15" ht="15.75" customHeight="1">
      <c r="A15" s="35"/>
      <c r="B15" s="35"/>
      <c r="C15" s="35"/>
      <c r="D15" s="36"/>
      <c r="E15" s="37"/>
      <c r="F15" s="38"/>
      <c r="G15" s="39"/>
    </row>
    <row r="16" ht="15.75" customHeight="1">
      <c r="A16" s="35"/>
      <c r="B16" s="35"/>
      <c r="C16" s="35"/>
      <c r="D16" s="36"/>
      <c r="E16" s="37"/>
      <c r="F16" s="38"/>
      <c r="G16" s="39"/>
    </row>
    <row r="17" ht="15.75" customHeight="1">
      <c r="A17" s="35"/>
      <c r="B17" s="35"/>
      <c r="C17" s="35"/>
      <c r="D17" s="36"/>
      <c r="E17" s="37"/>
      <c r="F17" s="38"/>
      <c r="G17" s="39"/>
    </row>
    <row r="18" ht="15.75" customHeight="1">
      <c r="A18" s="35"/>
      <c r="B18" s="35"/>
      <c r="C18" s="35"/>
      <c r="D18" s="36"/>
      <c r="E18" s="37"/>
      <c r="F18" s="38"/>
      <c r="G18" s="39"/>
    </row>
    <row r="19" ht="15.75" customHeight="1">
      <c r="A19" s="35"/>
      <c r="B19" s="35"/>
      <c r="C19" s="35"/>
      <c r="D19" s="36"/>
      <c r="E19" s="37"/>
      <c r="F19" s="38"/>
      <c r="G19" s="39"/>
    </row>
    <row r="20" ht="15.75" customHeight="1">
      <c r="A20" s="35"/>
      <c r="B20" s="35"/>
      <c r="C20" s="35"/>
      <c r="D20" s="36"/>
      <c r="E20" s="37"/>
      <c r="F20" s="38"/>
      <c r="G20" s="39"/>
    </row>
    <row r="21" ht="15.75" customHeight="1">
      <c r="A21" s="35"/>
      <c r="B21" s="35"/>
      <c r="C21" s="35"/>
      <c r="D21" s="36"/>
      <c r="E21" s="37"/>
      <c r="F21" s="38"/>
      <c r="G21" s="39"/>
    </row>
    <row r="22" ht="15.75" customHeight="1">
      <c r="A22" s="35"/>
      <c r="B22" s="35"/>
      <c r="C22" s="35"/>
      <c r="D22" s="36"/>
      <c r="E22" s="37"/>
      <c r="F22" s="38"/>
      <c r="G22" s="39"/>
    </row>
    <row r="23" ht="15.75" customHeight="1">
      <c r="A23" s="35"/>
      <c r="B23" s="35"/>
      <c r="C23" s="35"/>
      <c r="D23" s="36"/>
      <c r="E23" s="37"/>
      <c r="F23" s="38"/>
      <c r="G23" s="39"/>
    </row>
    <row r="24" ht="15.75" customHeight="1">
      <c r="A24" s="35"/>
      <c r="B24" s="35"/>
      <c r="C24" s="35"/>
      <c r="D24" s="36"/>
      <c r="E24" s="37"/>
      <c r="F24" s="38"/>
      <c r="G24" s="39"/>
    </row>
    <row r="25" ht="15.75" customHeight="1">
      <c r="A25" s="35"/>
      <c r="B25" s="35"/>
      <c r="C25" s="35"/>
      <c r="D25" s="36"/>
      <c r="E25" s="37"/>
      <c r="F25" s="38"/>
      <c r="G25" s="39"/>
    </row>
    <row r="26" ht="15.75" customHeight="1">
      <c r="A26" s="35"/>
      <c r="B26" s="35"/>
      <c r="C26" s="35"/>
      <c r="D26" s="36"/>
      <c r="E26" s="37"/>
      <c r="F26" s="38"/>
      <c r="G26" s="39"/>
    </row>
    <row r="27" ht="15.75" customHeight="1">
      <c r="A27" s="35"/>
      <c r="B27" s="35"/>
      <c r="C27" s="35"/>
      <c r="D27" s="36"/>
      <c r="E27" s="37"/>
      <c r="F27" s="38"/>
      <c r="G27" s="39"/>
    </row>
    <row r="28" ht="15.75" customHeight="1">
      <c r="A28" s="35"/>
      <c r="B28" s="35"/>
      <c r="C28" s="35"/>
      <c r="D28" s="36"/>
      <c r="E28" s="37"/>
      <c r="F28" s="38"/>
      <c r="G28" s="39"/>
    </row>
    <row r="29" ht="15.75" customHeight="1">
      <c r="A29" s="35"/>
      <c r="B29" s="35"/>
      <c r="C29" s="35"/>
      <c r="D29" s="36"/>
      <c r="E29" s="37"/>
      <c r="F29" s="38"/>
      <c r="G29" s="39"/>
    </row>
    <row r="30" ht="15.75" customHeight="1">
      <c r="A30" s="35"/>
      <c r="B30" s="35"/>
      <c r="C30" s="35"/>
      <c r="D30" s="36"/>
      <c r="E30" s="37"/>
      <c r="F30" s="38"/>
      <c r="G30" s="39"/>
    </row>
    <row r="31" ht="15.75" customHeight="1">
      <c r="A31" s="35"/>
      <c r="B31" s="35"/>
      <c r="C31" s="35"/>
      <c r="D31" s="36"/>
      <c r="E31" s="37"/>
      <c r="F31" s="38"/>
      <c r="G31" s="39"/>
    </row>
    <row r="32" ht="15.75" customHeight="1">
      <c r="A32" s="35"/>
      <c r="B32" s="35"/>
      <c r="C32" s="35"/>
      <c r="D32" s="36"/>
      <c r="E32" s="37"/>
      <c r="F32" s="38"/>
      <c r="G32" s="39"/>
    </row>
    <row r="33" ht="15.75" customHeight="1">
      <c r="A33" s="35"/>
      <c r="B33" s="35"/>
      <c r="C33" s="35"/>
      <c r="D33" s="36"/>
      <c r="E33" s="37"/>
      <c r="F33" s="38"/>
      <c r="G33" s="39"/>
    </row>
    <row r="34" ht="15.75" customHeight="1">
      <c r="A34" s="35"/>
      <c r="B34" s="35"/>
      <c r="C34" s="35"/>
      <c r="D34" s="36"/>
      <c r="E34" s="37"/>
      <c r="F34" s="38"/>
      <c r="G34" s="39"/>
    </row>
    <row r="35" ht="15.75" customHeight="1">
      <c r="A35" s="35"/>
      <c r="B35" s="35"/>
      <c r="C35" s="35"/>
      <c r="D35" s="36"/>
      <c r="E35" s="37"/>
      <c r="F35" s="38"/>
      <c r="G35" s="39"/>
    </row>
    <row r="36" ht="15.75" customHeight="1">
      <c r="A36" s="35"/>
      <c r="B36" s="35"/>
      <c r="C36" s="35"/>
      <c r="D36" s="36"/>
      <c r="E36" s="37"/>
      <c r="F36" s="38"/>
      <c r="G36" s="39"/>
    </row>
    <row r="37" ht="15.75" customHeight="1">
      <c r="A37" s="35"/>
      <c r="B37" s="35"/>
      <c r="C37" s="35"/>
      <c r="D37" s="36"/>
      <c r="E37" s="37"/>
      <c r="F37" s="38"/>
      <c r="G37" s="39"/>
    </row>
    <row r="38" ht="15.75" customHeight="1">
      <c r="A38" s="35"/>
      <c r="B38" s="35"/>
      <c r="C38" s="35"/>
      <c r="D38" s="36"/>
      <c r="E38" s="37"/>
      <c r="F38" s="38"/>
      <c r="G38" s="39"/>
    </row>
    <row r="39" ht="15.75" customHeight="1">
      <c r="A39" s="35"/>
      <c r="B39" s="35"/>
      <c r="C39" s="35"/>
      <c r="D39" s="36"/>
      <c r="E39" s="37"/>
      <c r="F39" s="38"/>
      <c r="G39" s="39"/>
    </row>
    <row r="40" ht="15.75" customHeight="1">
      <c r="A40" s="35"/>
      <c r="B40" s="35"/>
      <c r="C40" s="35"/>
      <c r="D40" s="36"/>
      <c r="E40" s="37"/>
      <c r="F40" s="38"/>
      <c r="G40" s="39"/>
    </row>
    <row r="41" ht="15.75" customHeight="1">
      <c r="A41" s="35"/>
      <c r="B41" s="35"/>
      <c r="C41" s="35"/>
      <c r="D41" s="36"/>
      <c r="E41" s="37"/>
      <c r="F41" s="38"/>
      <c r="G41" s="39"/>
    </row>
    <row r="42" ht="15.75" customHeight="1">
      <c r="A42" s="35"/>
      <c r="B42" s="35"/>
      <c r="C42" s="35"/>
      <c r="D42" s="36"/>
      <c r="E42" s="37"/>
      <c r="F42" s="38"/>
      <c r="G42" s="39"/>
    </row>
    <row r="43" ht="15.75" customHeight="1">
      <c r="A43" s="35"/>
      <c r="B43" s="35"/>
      <c r="C43" s="35"/>
      <c r="D43" s="36"/>
      <c r="E43" s="37"/>
      <c r="F43" s="38"/>
      <c r="G43" s="39"/>
    </row>
    <row r="44" ht="15.75" customHeight="1">
      <c r="A44" s="35"/>
      <c r="B44" s="35"/>
      <c r="C44" s="35"/>
      <c r="D44" s="36"/>
      <c r="E44" s="37"/>
      <c r="F44" s="38"/>
      <c r="G44" s="39"/>
    </row>
    <row r="45" ht="15.75" customHeight="1">
      <c r="A45" s="35"/>
      <c r="B45" s="35"/>
      <c r="C45" s="35"/>
      <c r="D45" s="36"/>
      <c r="E45" s="37"/>
      <c r="F45" s="38"/>
      <c r="G45" s="39"/>
    </row>
    <row r="46" ht="15.75" customHeight="1">
      <c r="A46" s="35"/>
      <c r="B46" s="35"/>
      <c r="C46" s="35"/>
      <c r="D46" s="36"/>
      <c r="E46" s="37"/>
      <c r="F46" s="38"/>
      <c r="G46" s="39"/>
    </row>
    <row r="47" ht="15.75" customHeight="1">
      <c r="A47" s="35"/>
      <c r="B47" s="35"/>
      <c r="C47" s="35"/>
      <c r="D47" s="36"/>
      <c r="E47" s="37"/>
      <c r="F47" s="38"/>
      <c r="G47" s="39"/>
    </row>
    <row r="48" ht="15.75" customHeight="1">
      <c r="A48" s="35"/>
      <c r="B48" s="35"/>
      <c r="C48" s="35"/>
      <c r="D48" s="36"/>
      <c r="E48" s="37"/>
      <c r="F48" s="38"/>
      <c r="G48" s="39"/>
    </row>
    <row r="49" ht="15.75" customHeight="1">
      <c r="A49" s="35"/>
      <c r="B49" s="35"/>
      <c r="C49" s="35"/>
      <c r="D49" s="36"/>
      <c r="E49" s="37"/>
      <c r="F49" s="38"/>
      <c r="G49" s="39"/>
    </row>
    <row r="50" ht="15.75" customHeight="1">
      <c r="A50" s="35"/>
      <c r="B50" s="35"/>
      <c r="C50" s="35"/>
      <c r="D50" s="36"/>
      <c r="E50" s="37"/>
      <c r="F50" s="38"/>
      <c r="G50" s="39"/>
    </row>
    <row r="51" ht="15.75" customHeight="1">
      <c r="A51" s="35"/>
      <c r="B51" s="35"/>
      <c r="C51" s="35"/>
      <c r="D51" s="36"/>
      <c r="E51" s="37"/>
      <c r="F51" s="38"/>
      <c r="G51" s="39"/>
    </row>
    <row r="52" ht="15.75" customHeight="1">
      <c r="A52" s="35"/>
      <c r="B52" s="35"/>
      <c r="C52" s="35"/>
      <c r="D52" s="36"/>
      <c r="E52" s="37"/>
      <c r="F52" s="38"/>
      <c r="G52" s="39"/>
    </row>
    <row r="53" ht="15.75" customHeight="1">
      <c r="A53" s="35"/>
      <c r="B53" s="35"/>
      <c r="C53" s="35"/>
      <c r="D53" s="36"/>
      <c r="E53" s="37"/>
      <c r="F53" s="38"/>
      <c r="G53" s="39"/>
    </row>
    <row r="54" ht="15.75" customHeight="1">
      <c r="A54" s="35"/>
      <c r="B54" s="35"/>
      <c r="C54" s="35"/>
      <c r="D54" s="36"/>
      <c r="E54" s="37"/>
      <c r="F54" s="38"/>
      <c r="G54" s="39"/>
    </row>
    <row r="55" ht="15.75" customHeight="1">
      <c r="A55" s="35"/>
      <c r="B55" s="35"/>
      <c r="C55" s="35"/>
      <c r="D55" s="36"/>
      <c r="E55" s="37"/>
      <c r="F55" s="38"/>
      <c r="G55" s="39"/>
    </row>
    <row r="56" ht="15.75" customHeight="1">
      <c r="A56" s="35"/>
      <c r="B56" s="35"/>
      <c r="C56" s="35"/>
      <c r="D56" s="36"/>
      <c r="E56" s="37"/>
      <c r="F56" s="38"/>
      <c r="G56" s="39"/>
    </row>
    <row r="57" ht="15.75" customHeight="1">
      <c r="A57" s="35"/>
      <c r="B57" s="35"/>
      <c r="C57" s="35"/>
      <c r="D57" s="36"/>
      <c r="E57" s="37"/>
      <c r="F57" s="38"/>
      <c r="G57" s="39"/>
    </row>
    <row r="58" ht="15.75" customHeight="1">
      <c r="A58" s="35"/>
      <c r="B58" s="35"/>
      <c r="C58" s="35"/>
      <c r="D58" s="36"/>
      <c r="E58" s="37"/>
      <c r="F58" s="38"/>
      <c r="G58" s="39"/>
    </row>
    <row r="59" ht="15.75" customHeight="1">
      <c r="A59" s="35"/>
      <c r="B59" s="35"/>
      <c r="C59" s="35"/>
      <c r="D59" s="36"/>
      <c r="E59" s="37"/>
      <c r="F59" s="38"/>
      <c r="G59" s="39"/>
    </row>
    <row r="60" ht="15.75" customHeight="1">
      <c r="A60" s="35"/>
      <c r="B60" s="35"/>
      <c r="C60" s="35"/>
      <c r="D60" s="36"/>
      <c r="E60" s="37"/>
      <c r="F60" s="38"/>
      <c r="G60" s="39"/>
    </row>
    <row r="61" ht="15.75" customHeight="1">
      <c r="A61" s="35"/>
      <c r="B61" s="35"/>
      <c r="C61" s="35"/>
      <c r="D61" s="36"/>
      <c r="E61" s="37"/>
      <c r="F61" s="38"/>
      <c r="G61" s="39"/>
    </row>
    <row r="62" ht="15.75" customHeight="1">
      <c r="A62" s="35"/>
      <c r="B62" s="35"/>
      <c r="C62" s="35"/>
      <c r="D62" s="36"/>
      <c r="E62" s="37"/>
      <c r="F62" s="38"/>
      <c r="G62" s="39"/>
    </row>
    <row r="63" ht="15.75" customHeight="1">
      <c r="A63" s="35"/>
      <c r="B63" s="35"/>
      <c r="C63" s="35"/>
      <c r="D63" s="36"/>
      <c r="E63" s="37"/>
      <c r="F63" s="38"/>
      <c r="G63" s="39"/>
    </row>
    <row r="64" ht="15.75" customHeight="1">
      <c r="A64" s="35"/>
      <c r="B64" s="35"/>
      <c r="C64" s="35"/>
      <c r="D64" s="36"/>
      <c r="E64" s="37"/>
      <c r="F64" s="38"/>
      <c r="G64" s="39"/>
    </row>
    <row r="65" ht="15.75" customHeight="1">
      <c r="A65" s="35"/>
      <c r="B65" s="35"/>
      <c r="C65" s="35"/>
      <c r="D65" s="36"/>
      <c r="E65" s="37"/>
      <c r="F65" s="38"/>
      <c r="G65" s="39"/>
    </row>
    <row r="66" ht="15.75" customHeight="1">
      <c r="A66" s="35"/>
      <c r="B66" s="35"/>
      <c r="C66" s="35"/>
      <c r="D66" s="36"/>
      <c r="E66" s="37"/>
      <c r="F66" s="38"/>
      <c r="G66" s="39"/>
    </row>
    <row r="67" ht="15.75" customHeight="1">
      <c r="A67" s="35"/>
      <c r="B67" s="35"/>
      <c r="C67" s="35"/>
      <c r="D67" s="36"/>
      <c r="E67" s="37"/>
      <c r="F67" s="38"/>
      <c r="G67" s="39"/>
    </row>
    <row r="68" ht="15.75" customHeight="1">
      <c r="A68" s="35"/>
      <c r="B68" s="35"/>
      <c r="C68" s="35"/>
      <c r="D68" s="36"/>
      <c r="E68" s="37"/>
      <c r="F68" s="38"/>
      <c r="G68" s="39"/>
    </row>
    <row r="69" ht="15.75" customHeight="1">
      <c r="A69" s="35"/>
      <c r="B69" s="35"/>
      <c r="C69" s="35"/>
      <c r="D69" s="36"/>
      <c r="E69" s="37"/>
      <c r="F69" s="38"/>
      <c r="G69" s="39"/>
    </row>
    <row r="70" ht="15.75" customHeight="1">
      <c r="A70" s="35"/>
      <c r="B70" s="35"/>
      <c r="C70" s="35"/>
      <c r="D70" s="36"/>
      <c r="E70" s="37"/>
      <c r="F70" s="38"/>
      <c r="G70" s="39"/>
    </row>
    <row r="71" ht="15.75" customHeight="1">
      <c r="A71" s="35"/>
      <c r="B71" s="35"/>
      <c r="C71" s="35"/>
      <c r="D71" s="36"/>
      <c r="E71" s="37"/>
      <c r="F71" s="38"/>
      <c r="G71" s="39"/>
    </row>
    <row r="72" ht="15.75" customHeight="1">
      <c r="A72" s="35"/>
      <c r="B72" s="35"/>
      <c r="C72" s="35"/>
      <c r="D72" s="36"/>
      <c r="E72" s="37"/>
      <c r="F72" s="38"/>
      <c r="G72" s="39"/>
    </row>
    <row r="73" ht="15.75" customHeight="1">
      <c r="A73" s="35"/>
      <c r="B73" s="35"/>
      <c r="C73" s="35"/>
      <c r="D73" s="36"/>
      <c r="E73" s="37"/>
      <c r="F73" s="38"/>
      <c r="G73" s="39"/>
    </row>
    <row r="74" ht="15.75" customHeight="1">
      <c r="A74" s="35"/>
      <c r="B74" s="35"/>
      <c r="C74" s="35"/>
      <c r="D74" s="36"/>
      <c r="E74" s="37"/>
      <c r="F74" s="38"/>
      <c r="G74" s="39"/>
    </row>
    <row r="75" ht="15.75" customHeight="1">
      <c r="A75" s="35"/>
      <c r="B75" s="35"/>
      <c r="C75" s="35"/>
      <c r="D75" s="36"/>
      <c r="E75" s="37"/>
      <c r="F75" s="38"/>
      <c r="G75" s="39"/>
    </row>
    <row r="76" ht="15.75" customHeight="1">
      <c r="A76" s="35"/>
      <c r="B76" s="35"/>
      <c r="C76" s="35"/>
      <c r="D76" s="36"/>
      <c r="E76" s="37"/>
      <c r="F76" s="38"/>
      <c r="G76" s="39"/>
    </row>
    <row r="77" ht="15.75" customHeight="1">
      <c r="A77" s="35"/>
      <c r="B77" s="35"/>
      <c r="C77" s="35"/>
      <c r="D77" s="36"/>
      <c r="E77" s="37"/>
      <c r="F77" s="38"/>
      <c r="G77" s="39"/>
    </row>
    <row r="78" ht="15.75" customHeight="1">
      <c r="A78" s="35"/>
      <c r="B78" s="35"/>
      <c r="C78" s="35"/>
      <c r="D78" s="36"/>
      <c r="E78" s="37"/>
      <c r="F78" s="38"/>
      <c r="G78" s="39"/>
    </row>
    <row r="79" ht="15.75" customHeight="1">
      <c r="A79" s="35"/>
      <c r="B79" s="35"/>
      <c r="C79" s="35"/>
      <c r="D79" s="36"/>
      <c r="E79" s="37"/>
      <c r="F79" s="38"/>
      <c r="G79" s="39"/>
    </row>
    <row r="80" ht="15.75" customHeight="1">
      <c r="A80" s="35"/>
      <c r="B80" s="35"/>
      <c r="C80" s="35"/>
      <c r="D80" s="36"/>
      <c r="E80" s="37"/>
      <c r="F80" s="38"/>
      <c r="G80" s="39"/>
    </row>
    <row r="81" ht="15.75" customHeight="1">
      <c r="A81" s="35"/>
      <c r="B81" s="35"/>
      <c r="C81" s="35"/>
      <c r="D81" s="36"/>
      <c r="E81" s="37"/>
      <c r="F81" s="38"/>
      <c r="G81" s="39"/>
    </row>
    <row r="82" ht="15.75" customHeight="1">
      <c r="A82" s="35"/>
      <c r="B82" s="35"/>
      <c r="C82" s="35"/>
      <c r="D82" s="36"/>
      <c r="E82" s="37"/>
      <c r="F82" s="38"/>
      <c r="G82" s="39"/>
    </row>
    <row r="83" ht="15.75" customHeight="1">
      <c r="A83" s="35"/>
      <c r="B83" s="35"/>
      <c r="C83" s="35"/>
      <c r="D83" s="36"/>
      <c r="E83" s="37"/>
      <c r="F83" s="38"/>
      <c r="G83" s="39"/>
    </row>
    <row r="84" ht="15.75" customHeight="1">
      <c r="A84" s="35"/>
      <c r="B84" s="35"/>
      <c r="C84" s="35"/>
      <c r="D84" s="36"/>
      <c r="E84" s="37"/>
      <c r="F84" s="38"/>
      <c r="G84" s="39"/>
    </row>
    <row r="85" ht="15.75" customHeight="1">
      <c r="A85" s="35"/>
      <c r="B85" s="35"/>
      <c r="C85" s="35"/>
      <c r="D85" s="36"/>
      <c r="E85" s="37"/>
      <c r="F85" s="38"/>
      <c r="G85" s="39"/>
    </row>
    <row r="86" ht="15.75" customHeight="1">
      <c r="A86" s="35"/>
      <c r="B86" s="35"/>
      <c r="C86" s="35"/>
      <c r="D86" s="36"/>
      <c r="E86" s="37"/>
      <c r="F86" s="38"/>
      <c r="G86" s="39"/>
    </row>
    <row r="87" ht="15.75" customHeight="1">
      <c r="A87" s="35"/>
      <c r="B87" s="35"/>
      <c r="C87" s="35"/>
      <c r="D87" s="36"/>
      <c r="E87" s="37"/>
      <c r="F87" s="38"/>
      <c r="G87" s="39"/>
    </row>
    <row r="88" ht="15.75" customHeight="1">
      <c r="A88" s="35"/>
      <c r="B88" s="35"/>
      <c r="C88" s="35"/>
      <c r="D88" s="36"/>
      <c r="E88" s="37"/>
      <c r="F88" s="38"/>
      <c r="G88" s="39"/>
    </row>
    <row r="89" ht="15.75" customHeight="1">
      <c r="A89" s="35"/>
      <c r="B89" s="35"/>
      <c r="C89" s="35"/>
      <c r="D89" s="36"/>
      <c r="E89" s="37"/>
      <c r="F89" s="38"/>
      <c r="G89" s="39"/>
    </row>
    <row r="90" ht="15.75" customHeight="1">
      <c r="A90" s="35"/>
      <c r="B90" s="35"/>
      <c r="C90" s="35"/>
      <c r="D90" s="36"/>
      <c r="E90" s="37"/>
      <c r="F90" s="38"/>
      <c r="G90" s="39"/>
    </row>
    <row r="91" ht="15.75" customHeight="1">
      <c r="A91" s="35"/>
      <c r="B91" s="35"/>
      <c r="C91" s="35"/>
      <c r="D91" s="36"/>
      <c r="E91" s="37"/>
      <c r="F91" s="38"/>
      <c r="G91" s="39"/>
    </row>
    <row r="92" ht="15.75" customHeight="1">
      <c r="A92" s="35"/>
      <c r="B92" s="35"/>
      <c r="C92" s="35"/>
      <c r="D92" s="36"/>
      <c r="E92" s="37"/>
      <c r="F92" s="38"/>
      <c r="G92" s="39"/>
    </row>
    <row r="93" ht="15.75" customHeight="1">
      <c r="A93" s="35"/>
      <c r="B93" s="35"/>
      <c r="C93" s="35"/>
      <c r="D93" s="36"/>
      <c r="E93" s="37"/>
      <c r="F93" s="38"/>
      <c r="G93" s="39"/>
    </row>
    <row r="94" ht="15.75" customHeight="1">
      <c r="A94" s="35"/>
      <c r="B94" s="35"/>
      <c r="C94" s="35"/>
      <c r="D94" s="36"/>
      <c r="E94" s="37"/>
      <c r="F94" s="38"/>
      <c r="G94" s="39"/>
    </row>
    <row r="95" ht="15.75" customHeight="1">
      <c r="A95" s="35"/>
      <c r="B95" s="35"/>
      <c r="C95" s="35"/>
      <c r="D95" s="36"/>
      <c r="E95" s="37"/>
      <c r="F95" s="38"/>
      <c r="G95" s="39"/>
    </row>
    <row r="96" ht="15.75" customHeight="1">
      <c r="A96" s="35"/>
      <c r="B96" s="35"/>
      <c r="C96" s="35"/>
      <c r="D96" s="36"/>
      <c r="E96" s="37"/>
      <c r="F96" s="38"/>
      <c r="G96" s="39"/>
    </row>
    <row r="97" ht="15.75" customHeight="1">
      <c r="A97" s="35"/>
      <c r="B97" s="35"/>
      <c r="C97" s="35"/>
      <c r="D97" s="36"/>
      <c r="E97" s="37"/>
      <c r="F97" s="38"/>
      <c r="G97" s="39"/>
    </row>
    <row r="98" ht="15.75" customHeight="1">
      <c r="A98" s="35"/>
      <c r="B98" s="35"/>
      <c r="C98" s="35"/>
      <c r="D98" s="36"/>
      <c r="E98" s="37"/>
      <c r="F98" s="38"/>
      <c r="G98" s="39"/>
    </row>
    <row r="99" ht="15.75" customHeight="1">
      <c r="A99" s="35"/>
      <c r="B99" s="35"/>
      <c r="C99" s="35"/>
      <c r="D99" s="36"/>
      <c r="E99" s="37"/>
      <c r="F99" s="38"/>
      <c r="G99" s="39"/>
    </row>
    <row r="100" ht="15.75" customHeight="1">
      <c r="A100" s="35"/>
      <c r="B100" s="35"/>
      <c r="C100" s="35"/>
      <c r="D100" s="36"/>
      <c r="E100" s="37"/>
      <c r="F100" s="38"/>
      <c r="G100" s="39"/>
    </row>
    <row r="101" ht="15.75" customHeight="1">
      <c r="A101" s="35"/>
      <c r="B101" s="35"/>
      <c r="C101" s="35"/>
      <c r="D101" s="36"/>
      <c r="E101" s="37"/>
      <c r="F101" s="38"/>
      <c r="G101" s="39"/>
    </row>
    <row r="102" ht="15.75" customHeight="1">
      <c r="A102" s="35"/>
      <c r="B102" s="35"/>
      <c r="C102" s="35"/>
      <c r="D102" s="36"/>
      <c r="E102" s="37"/>
      <c r="F102" s="38"/>
      <c r="G102" s="39"/>
    </row>
    <row r="103" ht="15.75" customHeight="1">
      <c r="A103" s="35"/>
      <c r="B103" s="35"/>
      <c r="C103" s="35"/>
      <c r="D103" s="36"/>
      <c r="E103" s="37"/>
      <c r="F103" s="38"/>
      <c r="G103" s="39"/>
    </row>
    <row r="104" ht="15.75" customHeight="1">
      <c r="A104" s="35"/>
      <c r="B104" s="35"/>
      <c r="C104" s="35"/>
      <c r="D104" s="36"/>
      <c r="E104" s="37"/>
      <c r="F104" s="38"/>
      <c r="G104" s="39"/>
    </row>
    <row r="105" ht="15.75" customHeight="1">
      <c r="A105" s="35"/>
      <c r="B105" s="35"/>
      <c r="C105" s="35"/>
      <c r="D105" s="36"/>
      <c r="E105" s="37"/>
      <c r="F105" s="38"/>
      <c r="G105" s="39"/>
    </row>
    <row r="106" ht="15.75" customHeight="1">
      <c r="A106" s="35"/>
      <c r="B106" s="35"/>
      <c r="C106" s="35"/>
      <c r="D106" s="36"/>
      <c r="E106" s="37"/>
      <c r="F106" s="38"/>
      <c r="G106" s="39"/>
    </row>
    <row r="107" ht="15.75" customHeight="1">
      <c r="A107" s="35"/>
      <c r="B107" s="35"/>
      <c r="C107" s="35"/>
      <c r="D107" s="36"/>
      <c r="E107" s="37"/>
      <c r="F107" s="38"/>
      <c r="G107" s="39"/>
    </row>
    <row r="108" ht="15.75" customHeight="1">
      <c r="A108" s="35"/>
      <c r="B108" s="35"/>
      <c r="C108" s="35"/>
      <c r="D108" s="36"/>
      <c r="E108" s="37"/>
      <c r="F108" s="38"/>
      <c r="G108" s="39"/>
    </row>
    <row r="109" ht="15.75" customHeight="1">
      <c r="A109" s="35"/>
      <c r="B109" s="35"/>
      <c r="C109" s="35"/>
      <c r="D109" s="36"/>
      <c r="E109" s="37"/>
      <c r="F109" s="38"/>
      <c r="G109" s="39"/>
    </row>
    <row r="110" ht="15.75" customHeight="1">
      <c r="A110" s="35"/>
      <c r="B110" s="35"/>
      <c r="C110" s="35"/>
      <c r="D110" s="36"/>
      <c r="E110" s="37"/>
      <c r="F110" s="38"/>
      <c r="G110" s="39"/>
    </row>
    <row r="111" ht="15.75" customHeight="1">
      <c r="A111" s="35"/>
      <c r="B111" s="35"/>
      <c r="C111" s="35"/>
      <c r="D111" s="36"/>
      <c r="E111" s="37"/>
      <c r="F111" s="38"/>
      <c r="G111" s="39"/>
    </row>
    <row r="112" ht="15.75" customHeight="1">
      <c r="A112" s="35"/>
      <c r="B112" s="35"/>
      <c r="C112" s="35"/>
      <c r="D112" s="36"/>
      <c r="E112" s="37"/>
      <c r="F112" s="38"/>
      <c r="G112" s="39"/>
    </row>
    <row r="113" ht="15.75" customHeight="1">
      <c r="A113" s="35"/>
      <c r="B113" s="35"/>
      <c r="C113" s="35"/>
      <c r="D113" s="36"/>
      <c r="E113" s="37"/>
      <c r="F113" s="38"/>
      <c r="G113" s="39"/>
    </row>
    <row r="114" ht="15.75" customHeight="1">
      <c r="A114" s="35"/>
      <c r="B114" s="35"/>
      <c r="C114" s="35"/>
      <c r="D114" s="36"/>
      <c r="E114" s="37"/>
      <c r="F114" s="38"/>
      <c r="G114" s="39"/>
    </row>
    <row r="115" ht="15.75" customHeight="1">
      <c r="A115" s="35"/>
      <c r="B115" s="35"/>
      <c r="C115" s="35"/>
      <c r="D115" s="36"/>
      <c r="E115" s="37"/>
      <c r="F115" s="38"/>
      <c r="G115" s="39"/>
    </row>
    <row r="116" ht="15.75" customHeight="1">
      <c r="A116" s="35"/>
      <c r="B116" s="35"/>
      <c r="C116" s="35"/>
      <c r="D116" s="36"/>
      <c r="E116" s="37"/>
      <c r="F116" s="38"/>
      <c r="G116" s="39"/>
    </row>
    <row r="117" ht="15.75" customHeight="1">
      <c r="A117" s="35"/>
      <c r="B117" s="35"/>
      <c r="C117" s="35"/>
      <c r="D117" s="36"/>
      <c r="E117" s="37"/>
      <c r="F117" s="38"/>
      <c r="G117" s="39"/>
    </row>
    <row r="118" ht="15.75" customHeight="1">
      <c r="A118" s="35"/>
      <c r="B118" s="35"/>
      <c r="C118" s="35"/>
      <c r="D118" s="36"/>
      <c r="E118" s="37"/>
      <c r="F118" s="38"/>
      <c r="G118" s="39"/>
    </row>
    <row r="119" ht="15.75" customHeight="1">
      <c r="A119" s="35"/>
      <c r="B119" s="35"/>
      <c r="C119" s="35"/>
      <c r="D119" s="36"/>
      <c r="E119" s="37"/>
      <c r="F119" s="38"/>
      <c r="G119" s="39"/>
    </row>
    <row r="120" ht="15.75" customHeight="1">
      <c r="A120" s="35"/>
      <c r="B120" s="35"/>
      <c r="C120" s="35"/>
      <c r="D120" s="36"/>
      <c r="E120" s="37"/>
      <c r="F120" s="38"/>
      <c r="G120" s="39"/>
    </row>
    <row r="121" ht="15.75" customHeight="1">
      <c r="A121" s="35"/>
      <c r="B121" s="35"/>
      <c r="C121" s="35"/>
      <c r="D121" s="36"/>
      <c r="E121" s="37"/>
      <c r="F121" s="38"/>
      <c r="G121" s="39"/>
    </row>
    <row r="122" ht="15.75" customHeight="1">
      <c r="A122" s="35"/>
      <c r="B122" s="35"/>
      <c r="C122" s="35"/>
      <c r="D122" s="36"/>
      <c r="E122" s="37"/>
      <c r="F122" s="38"/>
      <c r="G122" s="39"/>
    </row>
    <row r="123" ht="15.75" customHeight="1">
      <c r="A123" s="35"/>
      <c r="B123" s="35"/>
      <c r="C123" s="35"/>
      <c r="D123" s="36"/>
      <c r="E123" s="37"/>
      <c r="F123" s="38"/>
      <c r="G123" s="39"/>
    </row>
    <row r="124" ht="15.75" customHeight="1">
      <c r="A124" s="35"/>
      <c r="B124" s="35"/>
      <c r="C124" s="35"/>
      <c r="D124" s="36"/>
      <c r="E124" s="37"/>
      <c r="F124" s="38"/>
      <c r="G124" s="39"/>
    </row>
    <row r="125" ht="15.75" customHeight="1">
      <c r="A125" s="35"/>
      <c r="B125" s="35"/>
      <c r="C125" s="35"/>
      <c r="D125" s="36"/>
      <c r="E125" s="37"/>
      <c r="F125" s="38"/>
      <c r="G125" s="39"/>
    </row>
    <row r="126" ht="15.75" customHeight="1">
      <c r="A126" s="35"/>
      <c r="B126" s="35"/>
      <c r="C126" s="35"/>
      <c r="D126" s="36"/>
      <c r="E126" s="37"/>
      <c r="F126" s="38"/>
      <c r="G126" s="39"/>
    </row>
    <row r="127" ht="15.75" customHeight="1">
      <c r="A127" s="35"/>
      <c r="B127" s="35"/>
      <c r="C127" s="35"/>
      <c r="D127" s="36"/>
      <c r="E127" s="37"/>
      <c r="F127" s="38"/>
      <c r="G127" s="39"/>
    </row>
    <row r="128" ht="15.75" customHeight="1">
      <c r="A128" s="35"/>
      <c r="B128" s="35"/>
      <c r="C128" s="35"/>
      <c r="D128" s="36"/>
      <c r="E128" s="37"/>
      <c r="F128" s="38"/>
      <c r="G128" s="39"/>
    </row>
    <row r="129" ht="15.75" customHeight="1">
      <c r="A129" s="35"/>
      <c r="B129" s="35"/>
      <c r="C129" s="35"/>
      <c r="D129" s="36"/>
      <c r="E129" s="37"/>
      <c r="F129" s="38"/>
      <c r="G129" s="39"/>
    </row>
    <row r="130" ht="15.75" customHeight="1">
      <c r="A130" s="35"/>
      <c r="B130" s="35"/>
      <c r="C130" s="35"/>
      <c r="D130" s="36"/>
      <c r="E130" s="37"/>
      <c r="F130" s="38"/>
      <c r="G130" s="39"/>
    </row>
    <row r="131" ht="15.75" customHeight="1">
      <c r="A131" s="35"/>
      <c r="B131" s="35"/>
      <c r="C131" s="35"/>
      <c r="D131" s="36"/>
      <c r="E131" s="37"/>
      <c r="F131" s="38"/>
      <c r="G131" s="39"/>
    </row>
    <row r="132" ht="15.75" customHeight="1">
      <c r="A132" s="35"/>
      <c r="B132" s="35"/>
      <c r="C132" s="35"/>
      <c r="D132" s="36"/>
      <c r="E132" s="37"/>
      <c r="F132" s="38"/>
      <c r="G132" s="39"/>
    </row>
    <row r="133" ht="15.75" customHeight="1">
      <c r="A133" s="35"/>
      <c r="B133" s="35"/>
      <c r="C133" s="35"/>
      <c r="D133" s="36"/>
      <c r="E133" s="37"/>
      <c r="F133" s="38"/>
      <c r="G133" s="39"/>
    </row>
    <row r="134" ht="15.75" customHeight="1">
      <c r="A134" s="35"/>
      <c r="B134" s="35"/>
      <c r="C134" s="35"/>
      <c r="D134" s="36"/>
      <c r="E134" s="37"/>
      <c r="F134" s="38"/>
      <c r="G134" s="39"/>
    </row>
    <row r="135" ht="15.75" customHeight="1">
      <c r="A135" s="35"/>
      <c r="B135" s="35"/>
      <c r="C135" s="35"/>
      <c r="D135" s="36"/>
      <c r="E135" s="37"/>
      <c r="F135" s="38"/>
      <c r="G135" s="39"/>
    </row>
    <row r="136" ht="15.75" customHeight="1">
      <c r="A136" s="35"/>
      <c r="B136" s="35"/>
      <c r="C136" s="35"/>
      <c r="D136" s="36"/>
      <c r="E136" s="37"/>
      <c r="F136" s="38"/>
      <c r="G136" s="39"/>
    </row>
    <row r="137" ht="15.75" customHeight="1">
      <c r="A137" s="35"/>
      <c r="B137" s="35"/>
      <c r="C137" s="35"/>
      <c r="D137" s="36"/>
      <c r="E137" s="37"/>
      <c r="F137" s="38"/>
      <c r="G137" s="39"/>
    </row>
    <row r="138" ht="15.75" customHeight="1">
      <c r="A138" s="35"/>
      <c r="B138" s="35"/>
      <c r="C138" s="35"/>
      <c r="D138" s="36"/>
      <c r="E138" s="37"/>
      <c r="F138" s="38"/>
      <c r="G138" s="39"/>
    </row>
    <row r="139" ht="15.75" customHeight="1">
      <c r="A139" s="35"/>
      <c r="B139" s="35"/>
      <c r="C139" s="35"/>
      <c r="D139" s="36"/>
      <c r="E139" s="37"/>
      <c r="F139" s="38"/>
      <c r="G139" s="39"/>
    </row>
    <row r="140" ht="15.75" customHeight="1">
      <c r="A140" s="35"/>
      <c r="B140" s="35"/>
      <c r="C140" s="35"/>
      <c r="D140" s="36"/>
      <c r="E140" s="37"/>
      <c r="F140" s="38"/>
      <c r="G140" s="39"/>
    </row>
    <row r="141" ht="15.75" customHeight="1">
      <c r="A141" s="35"/>
      <c r="B141" s="35"/>
      <c r="C141" s="35"/>
      <c r="D141" s="36"/>
      <c r="E141" s="37"/>
      <c r="F141" s="38"/>
      <c r="G141" s="39"/>
    </row>
    <row r="142" ht="15.75" customHeight="1">
      <c r="A142" s="35"/>
      <c r="B142" s="35"/>
      <c r="C142" s="35"/>
      <c r="D142" s="36"/>
      <c r="E142" s="37"/>
      <c r="F142" s="38"/>
      <c r="G142" s="39"/>
    </row>
    <row r="143" ht="15.75" customHeight="1">
      <c r="A143" s="35"/>
      <c r="B143" s="35"/>
      <c r="C143" s="35"/>
      <c r="D143" s="36"/>
      <c r="E143" s="37"/>
      <c r="F143" s="38"/>
      <c r="G143" s="39"/>
    </row>
    <row r="144" ht="15.75" customHeight="1">
      <c r="A144" s="35"/>
      <c r="B144" s="35"/>
      <c r="C144" s="35"/>
      <c r="D144" s="36"/>
      <c r="E144" s="37"/>
      <c r="F144" s="38"/>
      <c r="G144" s="39"/>
    </row>
    <row r="145" ht="15.75" customHeight="1">
      <c r="A145" s="35"/>
      <c r="B145" s="35"/>
      <c r="C145" s="35"/>
      <c r="D145" s="36"/>
      <c r="E145" s="37"/>
      <c r="F145" s="38"/>
      <c r="G145" s="39"/>
    </row>
    <row r="146" ht="15.75" customHeight="1">
      <c r="A146" s="35"/>
      <c r="B146" s="35"/>
      <c r="C146" s="35"/>
      <c r="D146" s="36"/>
      <c r="E146" s="37"/>
      <c r="F146" s="38"/>
      <c r="G146" s="39"/>
    </row>
    <row r="147" ht="15.75" customHeight="1">
      <c r="A147" s="35"/>
      <c r="B147" s="35"/>
      <c r="C147" s="35"/>
      <c r="D147" s="36"/>
      <c r="E147" s="37"/>
      <c r="F147" s="38"/>
      <c r="G147" s="39"/>
    </row>
    <row r="148" ht="15.75" customHeight="1">
      <c r="A148" s="35"/>
      <c r="B148" s="35"/>
      <c r="C148" s="35"/>
      <c r="D148" s="36"/>
      <c r="E148" s="37"/>
      <c r="F148" s="38"/>
      <c r="G148" s="39"/>
    </row>
    <row r="149" ht="15.75" customHeight="1">
      <c r="A149" s="35"/>
      <c r="B149" s="35"/>
      <c r="C149" s="35"/>
      <c r="D149" s="36"/>
      <c r="E149" s="37"/>
      <c r="F149" s="38"/>
      <c r="G149" s="39"/>
    </row>
    <row r="150" ht="15.75" customHeight="1">
      <c r="A150" s="35"/>
      <c r="B150" s="35"/>
      <c r="C150" s="35"/>
      <c r="D150" s="36"/>
      <c r="E150" s="37"/>
      <c r="F150" s="38"/>
      <c r="G150" s="39"/>
    </row>
    <row r="151" ht="15.75" customHeight="1">
      <c r="A151" s="35"/>
      <c r="B151" s="35"/>
      <c r="C151" s="35"/>
      <c r="D151" s="36"/>
      <c r="E151" s="37"/>
      <c r="F151" s="38"/>
      <c r="G151" s="39"/>
    </row>
    <row r="152" ht="15.75" customHeight="1">
      <c r="A152" s="35"/>
      <c r="B152" s="35"/>
      <c r="C152" s="35"/>
      <c r="D152" s="36"/>
      <c r="E152" s="37"/>
      <c r="F152" s="38"/>
      <c r="G152" s="39"/>
    </row>
    <row r="153" ht="15.75" customHeight="1">
      <c r="A153" s="35"/>
      <c r="B153" s="35"/>
      <c r="C153" s="35"/>
      <c r="D153" s="36"/>
      <c r="E153" s="37"/>
      <c r="F153" s="38"/>
      <c r="G153" s="39"/>
    </row>
    <row r="154" ht="15.75" customHeight="1">
      <c r="A154" s="35"/>
      <c r="B154" s="35"/>
      <c r="C154" s="35"/>
      <c r="D154" s="36"/>
      <c r="E154" s="37"/>
      <c r="F154" s="38"/>
      <c r="G154" s="39"/>
    </row>
    <row r="155" ht="15.75" customHeight="1">
      <c r="A155" s="35"/>
      <c r="B155" s="35"/>
      <c r="C155" s="35"/>
      <c r="D155" s="36"/>
      <c r="E155" s="37"/>
      <c r="F155" s="38"/>
      <c r="G155" s="39"/>
    </row>
    <row r="156" ht="15.75" customHeight="1">
      <c r="A156" s="35"/>
      <c r="B156" s="35"/>
      <c r="C156" s="35"/>
      <c r="D156" s="36"/>
      <c r="E156" s="37"/>
      <c r="F156" s="38"/>
      <c r="G156" s="39"/>
    </row>
    <row r="157" ht="15.75" customHeight="1">
      <c r="A157" s="35"/>
      <c r="B157" s="35"/>
      <c r="C157" s="35"/>
      <c r="D157" s="36"/>
      <c r="E157" s="37"/>
      <c r="F157" s="38"/>
      <c r="G157" s="39"/>
    </row>
    <row r="158" ht="15.75" customHeight="1">
      <c r="A158" s="35"/>
      <c r="B158" s="35"/>
      <c r="C158" s="35"/>
      <c r="D158" s="36"/>
      <c r="E158" s="37"/>
      <c r="F158" s="38"/>
      <c r="G158" s="39"/>
    </row>
    <row r="159" ht="15.75" customHeight="1">
      <c r="A159" s="35"/>
      <c r="B159" s="35"/>
      <c r="C159" s="35"/>
      <c r="D159" s="36"/>
      <c r="E159" s="37"/>
      <c r="F159" s="38"/>
      <c r="G159" s="39"/>
    </row>
    <row r="160" ht="15.75" customHeight="1">
      <c r="A160" s="35"/>
      <c r="B160" s="35"/>
      <c r="C160" s="35"/>
      <c r="D160" s="36"/>
      <c r="E160" s="37"/>
      <c r="F160" s="38"/>
      <c r="G160" s="39"/>
    </row>
    <row r="161" ht="15.75" customHeight="1">
      <c r="A161" s="35"/>
      <c r="B161" s="35"/>
      <c r="C161" s="35"/>
      <c r="D161" s="36"/>
      <c r="E161" s="37"/>
      <c r="F161" s="38"/>
      <c r="G161" s="39"/>
    </row>
    <row r="162" ht="15.75" customHeight="1">
      <c r="A162" s="35"/>
      <c r="B162" s="35"/>
      <c r="C162" s="35"/>
      <c r="D162" s="36"/>
      <c r="E162" s="37"/>
      <c r="F162" s="38"/>
      <c r="G162" s="39"/>
    </row>
    <row r="163" ht="15.75" customHeight="1">
      <c r="A163" s="35"/>
      <c r="B163" s="35"/>
      <c r="C163" s="35"/>
      <c r="D163" s="36"/>
      <c r="E163" s="37"/>
      <c r="F163" s="38"/>
      <c r="G163" s="39"/>
    </row>
    <row r="164" ht="15.75" customHeight="1">
      <c r="A164" s="35"/>
      <c r="B164" s="35"/>
      <c r="C164" s="35"/>
      <c r="D164" s="36"/>
      <c r="E164" s="37"/>
      <c r="F164" s="38"/>
      <c r="G164" s="39"/>
    </row>
    <row r="165" ht="15.75" customHeight="1">
      <c r="A165" s="35"/>
      <c r="B165" s="35"/>
      <c r="C165" s="35"/>
      <c r="D165" s="36"/>
      <c r="E165" s="37"/>
      <c r="F165" s="38"/>
      <c r="G165" s="39"/>
    </row>
    <row r="166" ht="15.75" customHeight="1">
      <c r="A166" s="35"/>
      <c r="B166" s="35"/>
      <c r="C166" s="35"/>
      <c r="D166" s="36"/>
      <c r="E166" s="37"/>
      <c r="F166" s="38"/>
      <c r="G166" s="39"/>
    </row>
    <row r="167" ht="15.75" customHeight="1">
      <c r="A167" s="35"/>
      <c r="B167" s="35"/>
      <c r="C167" s="35"/>
      <c r="D167" s="36"/>
      <c r="E167" s="37"/>
      <c r="F167" s="38"/>
      <c r="G167" s="39"/>
    </row>
    <row r="168" ht="15.75" customHeight="1">
      <c r="A168" s="35"/>
      <c r="B168" s="35"/>
      <c r="C168" s="35"/>
      <c r="D168" s="36"/>
      <c r="E168" s="37"/>
      <c r="F168" s="38"/>
      <c r="G168" s="39"/>
    </row>
    <row r="169" ht="15.75" customHeight="1">
      <c r="A169" s="35"/>
      <c r="B169" s="35"/>
      <c r="C169" s="35"/>
      <c r="D169" s="36"/>
      <c r="E169" s="37"/>
      <c r="F169" s="38"/>
      <c r="G169" s="39"/>
    </row>
    <row r="170" ht="15.75" customHeight="1">
      <c r="A170" s="35"/>
      <c r="B170" s="35"/>
      <c r="C170" s="35"/>
      <c r="D170" s="36"/>
      <c r="E170" s="37"/>
      <c r="F170" s="38"/>
      <c r="G170" s="39"/>
    </row>
    <row r="171" ht="15.75" customHeight="1">
      <c r="A171" s="35"/>
      <c r="B171" s="35"/>
      <c r="C171" s="35"/>
      <c r="D171" s="36"/>
      <c r="E171" s="37"/>
      <c r="F171" s="38"/>
      <c r="G171" s="39"/>
    </row>
    <row r="172" ht="15.75" customHeight="1">
      <c r="A172" s="35"/>
      <c r="B172" s="35"/>
      <c r="C172" s="35"/>
      <c r="D172" s="36"/>
      <c r="E172" s="37"/>
      <c r="F172" s="38"/>
      <c r="G172" s="39"/>
    </row>
    <row r="173" ht="15.75" customHeight="1">
      <c r="A173" s="35"/>
      <c r="B173" s="35"/>
      <c r="C173" s="35"/>
      <c r="D173" s="36"/>
      <c r="E173" s="37"/>
      <c r="F173" s="38"/>
      <c r="G173" s="39"/>
    </row>
    <row r="174" ht="15.75" customHeight="1">
      <c r="A174" s="35"/>
      <c r="B174" s="35"/>
      <c r="C174" s="35"/>
      <c r="D174" s="36"/>
      <c r="E174" s="37"/>
      <c r="F174" s="38"/>
      <c r="G174" s="39"/>
    </row>
    <row r="175" ht="15.75" customHeight="1">
      <c r="A175" s="35"/>
      <c r="B175" s="35"/>
      <c r="C175" s="35"/>
      <c r="D175" s="36"/>
      <c r="E175" s="37"/>
      <c r="F175" s="38"/>
      <c r="G175" s="39"/>
    </row>
    <row r="176" ht="15.75" customHeight="1">
      <c r="A176" s="35"/>
      <c r="B176" s="35"/>
      <c r="C176" s="35"/>
      <c r="D176" s="36"/>
      <c r="E176" s="37"/>
      <c r="F176" s="38"/>
      <c r="G176" s="39"/>
    </row>
    <row r="177" ht="15.75" customHeight="1">
      <c r="A177" s="35"/>
      <c r="B177" s="35"/>
      <c r="C177" s="35"/>
      <c r="D177" s="36"/>
      <c r="E177" s="37"/>
      <c r="F177" s="38"/>
      <c r="G177" s="39"/>
    </row>
    <row r="178" ht="15.75" customHeight="1">
      <c r="A178" s="35"/>
      <c r="B178" s="35"/>
      <c r="C178" s="35"/>
      <c r="D178" s="36"/>
      <c r="E178" s="37"/>
      <c r="F178" s="38"/>
      <c r="G178" s="39"/>
    </row>
    <row r="179" ht="15.75" customHeight="1">
      <c r="A179" s="35"/>
      <c r="B179" s="35"/>
      <c r="C179" s="35"/>
      <c r="D179" s="36"/>
      <c r="E179" s="37"/>
      <c r="F179" s="38"/>
      <c r="G179" s="39"/>
    </row>
    <row r="180" ht="15.75" customHeight="1">
      <c r="A180" s="35"/>
      <c r="B180" s="35"/>
      <c r="C180" s="35"/>
      <c r="D180" s="36"/>
      <c r="E180" s="37"/>
      <c r="F180" s="38"/>
      <c r="G180" s="39"/>
    </row>
    <row r="181" ht="15.75" customHeight="1">
      <c r="A181" s="35"/>
      <c r="B181" s="35"/>
      <c r="C181" s="35"/>
      <c r="D181" s="36"/>
      <c r="E181" s="37"/>
      <c r="F181" s="38"/>
      <c r="G181" s="39"/>
    </row>
    <row r="182" ht="15.75" customHeight="1">
      <c r="A182" s="35"/>
      <c r="B182" s="35"/>
      <c r="C182" s="35"/>
      <c r="D182" s="36"/>
      <c r="E182" s="37"/>
      <c r="F182" s="38"/>
      <c r="G182" s="39"/>
    </row>
    <row r="183" ht="15.75" customHeight="1">
      <c r="A183" s="35"/>
      <c r="B183" s="35"/>
      <c r="C183" s="35"/>
      <c r="D183" s="36"/>
      <c r="E183" s="37"/>
      <c r="F183" s="38"/>
      <c r="G183" s="39"/>
    </row>
    <row r="184" ht="15.75" customHeight="1">
      <c r="A184" s="35"/>
      <c r="B184" s="35"/>
      <c r="C184" s="35"/>
      <c r="D184" s="36"/>
      <c r="E184" s="37"/>
      <c r="F184" s="38"/>
      <c r="G184" s="39"/>
    </row>
    <row r="185" ht="15.75" customHeight="1">
      <c r="A185" s="35"/>
      <c r="B185" s="35"/>
      <c r="C185" s="35"/>
      <c r="D185" s="36"/>
      <c r="E185" s="37"/>
      <c r="F185" s="38"/>
      <c r="G185" s="39"/>
    </row>
    <row r="186" ht="15.75" customHeight="1">
      <c r="A186" s="35"/>
      <c r="B186" s="35"/>
      <c r="C186" s="35"/>
      <c r="D186" s="36"/>
      <c r="E186" s="37"/>
      <c r="F186" s="38"/>
      <c r="G186" s="39"/>
    </row>
    <row r="187" ht="15.75" customHeight="1">
      <c r="A187" s="35"/>
      <c r="B187" s="35"/>
      <c r="C187" s="35"/>
      <c r="D187" s="36"/>
      <c r="E187" s="37"/>
      <c r="F187" s="38"/>
      <c r="G187" s="39"/>
    </row>
    <row r="188" ht="15.75" customHeight="1">
      <c r="A188" s="35"/>
      <c r="B188" s="35"/>
      <c r="C188" s="35"/>
      <c r="D188" s="36"/>
      <c r="E188" s="37"/>
      <c r="F188" s="38"/>
      <c r="G188" s="39"/>
    </row>
    <row r="189" ht="15.75" customHeight="1">
      <c r="A189" s="35"/>
      <c r="B189" s="35"/>
      <c r="C189" s="35"/>
      <c r="D189" s="36"/>
      <c r="E189" s="37"/>
      <c r="F189" s="38"/>
      <c r="G189" s="39"/>
    </row>
    <row r="190" ht="15.75" customHeight="1">
      <c r="A190" s="35"/>
      <c r="B190" s="35"/>
      <c r="C190" s="35"/>
      <c r="D190" s="36"/>
      <c r="E190" s="37"/>
      <c r="F190" s="38"/>
      <c r="G190" s="39"/>
    </row>
    <row r="191" ht="15.75" customHeight="1">
      <c r="A191" s="35"/>
      <c r="B191" s="35"/>
      <c r="C191" s="35"/>
      <c r="D191" s="36"/>
      <c r="E191" s="37"/>
      <c r="F191" s="38"/>
      <c r="G191" s="39"/>
    </row>
    <row r="192" ht="15.75" customHeight="1">
      <c r="A192" s="35"/>
      <c r="B192" s="35"/>
      <c r="C192" s="35"/>
      <c r="D192" s="36"/>
      <c r="E192" s="37"/>
      <c r="F192" s="38"/>
      <c r="G192" s="39"/>
    </row>
    <row r="193" ht="15.75" customHeight="1">
      <c r="A193" s="35"/>
      <c r="B193" s="35"/>
      <c r="C193" s="35"/>
      <c r="D193" s="36"/>
      <c r="E193" s="37"/>
      <c r="F193" s="38"/>
      <c r="G193" s="39"/>
    </row>
    <row r="194" ht="15.75" customHeight="1">
      <c r="A194" s="35"/>
      <c r="B194" s="35"/>
      <c r="C194" s="35"/>
      <c r="D194" s="36"/>
      <c r="E194" s="37"/>
      <c r="F194" s="38"/>
      <c r="G194" s="39"/>
    </row>
    <row r="195" ht="15.75" customHeight="1">
      <c r="A195" s="35"/>
      <c r="B195" s="35"/>
      <c r="C195" s="35"/>
      <c r="D195" s="36"/>
      <c r="E195" s="37"/>
      <c r="F195" s="38"/>
      <c r="G195" s="39"/>
    </row>
    <row r="196" ht="15.75" customHeight="1">
      <c r="A196" s="35"/>
      <c r="B196" s="35"/>
      <c r="C196" s="35"/>
      <c r="D196" s="36"/>
      <c r="E196" s="37"/>
      <c r="F196" s="38"/>
      <c r="G196" s="39"/>
    </row>
    <row r="197" ht="15.75" customHeight="1">
      <c r="A197" s="35"/>
      <c r="B197" s="35"/>
      <c r="C197" s="35"/>
      <c r="D197" s="36"/>
      <c r="E197" s="37"/>
      <c r="F197" s="38"/>
      <c r="G197" s="39"/>
    </row>
    <row r="198" ht="15.75" customHeight="1">
      <c r="A198" s="35"/>
      <c r="B198" s="35"/>
      <c r="C198" s="35"/>
      <c r="D198" s="36"/>
      <c r="E198" s="37"/>
      <c r="F198" s="38"/>
      <c r="G198" s="39"/>
    </row>
    <row r="199" ht="15.75" customHeight="1">
      <c r="A199" s="35"/>
      <c r="B199" s="35"/>
      <c r="C199" s="35"/>
      <c r="D199" s="36"/>
      <c r="E199" s="37"/>
      <c r="F199" s="38"/>
      <c r="G199" s="39"/>
    </row>
    <row r="200" ht="15.75" customHeight="1">
      <c r="A200" s="35"/>
      <c r="B200" s="35"/>
      <c r="C200" s="35"/>
      <c r="D200" s="36"/>
      <c r="E200" s="37"/>
      <c r="F200" s="38"/>
      <c r="G200" s="39"/>
    </row>
    <row r="201" ht="15.75" customHeight="1">
      <c r="A201" s="35"/>
      <c r="B201" s="35"/>
      <c r="C201" s="35"/>
      <c r="D201" s="36"/>
      <c r="E201" s="37"/>
      <c r="F201" s="38"/>
      <c r="G201" s="39"/>
    </row>
    <row r="202" ht="15.75" customHeight="1">
      <c r="A202" s="35"/>
      <c r="B202" s="35"/>
      <c r="C202" s="35"/>
      <c r="D202" s="36"/>
      <c r="E202" s="37"/>
      <c r="F202" s="38"/>
      <c r="G202" s="39"/>
    </row>
    <row r="203" ht="15.75" customHeight="1">
      <c r="A203" s="35"/>
      <c r="B203" s="35"/>
      <c r="C203" s="35"/>
      <c r="D203" s="36"/>
      <c r="E203" s="37"/>
      <c r="F203" s="38"/>
      <c r="G203" s="39"/>
    </row>
    <row r="204" ht="15.75" customHeight="1">
      <c r="A204" s="35"/>
      <c r="B204" s="35"/>
      <c r="C204" s="35"/>
      <c r="D204" s="36"/>
      <c r="E204" s="37"/>
      <c r="F204" s="38"/>
      <c r="G204" s="39"/>
    </row>
    <row r="205" ht="15.75" customHeight="1">
      <c r="A205" s="35"/>
      <c r="B205" s="35"/>
      <c r="C205" s="35"/>
      <c r="D205" s="36"/>
      <c r="E205" s="37"/>
      <c r="F205" s="38"/>
      <c r="G205" s="39"/>
    </row>
    <row r="206" ht="15.75" customHeight="1">
      <c r="A206" s="35"/>
      <c r="B206" s="35"/>
      <c r="C206" s="35"/>
      <c r="D206" s="36"/>
      <c r="E206" s="37"/>
      <c r="F206" s="38"/>
      <c r="G206" s="39"/>
    </row>
    <row r="207" ht="15.75" customHeight="1">
      <c r="A207" s="35"/>
      <c r="B207" s="35"/>
      <c r="C207" s="35"/>
      <c r="D207" s="36"/>
      <c r="E207" s="37"/>
      <c r="F207" s="38"/>
      <c r="G207" s="39"/>
    </row>
    <row r="208" ht="15.75" customHeight="1">
      <c r="A208" s="35"/>
      <c r="B208" s="35"/>
      <c r="C208" s="35"/>
      <c r="D208" s="36"/>
      <c r="E208" s="37"/>
      <c r="F208" s="38"/>
      <c r="G208" s="39"/>
    </row>
    <row r="209" ht="15.75" customHeight="1">
      <c r="A209" s="35"/>
      <c r="B209" s="35"/>
      <c r="C209" s="35"/>
      <c r="D209" s="36"/>
      <c r="E209" s="37"/>
      <c r="F209" s="38"/>
      <c r="G209" s="39"/>
    </row>
    <row r="210" ht="15.75" customHeight="1">
      <c r="A210" s="35"/>
      <c r="B210" s="35"/>
      <c r="C210" s="35"/>
      <c r="D210" s="36"/>
      <c r="E210" s="37"/>
      <c r="F210" s="38"/>
      <c r="G210" s="39"/>
    </row>
    <row r="211" ht="15.75" customHeight="1">
      <c r="A211" s="35"/>
      <c r="B211" s="35"/>
      <c r="C211" s="35"/>
      <c r="D211" s="36"/>
      <c r="E211" s="37"/>
      <c r="F211" s="38"/>
      <c r="G211" s="39"/>
    </row>
    <row r="212" ht="15.75" customHeight="1">
      <c r="A212" s="35"/>
      <c r="B212" s="35"/>
      <c r="C212" s="35"/>
      <c r="D212" s="36"/>
      <c r="E212" s="37"/>
      <c r="F212" s="38"/>
      <c r="G212" s="39"/>
    </row>
    <row r="213" ht="15.75" customHeight="1">
      <c r="A213" s="35"/>
      <c r="B213" s="35"/>
      <c r="C213" s="35"/>
      <c r="D213" s="36"/>
      <c r="E213" s="37"/>
      <c r="F213" s="38"/>
      <c r="G213" s="39"/>
    </row>
    <row r="214" ht="15.75" customHeight="1">
      <c r="A214" s="35"/>
      <c r="B214" s="35"/>
      <c r="C214" s="35"/>
      <c r="D214" s="36"/>
      <c r="E214" s="37"/>
      <c r="F214" s="38"/>
      <c r="G214" s="39"/>
    </row>
    <row r="215" ht="15.75" customHeight="1">
      <c r="A215" s="35"/>
      <c r="B215" s="35"/>
      <c r="C215" s="35"/>
      <c r="D215" s="36"/>
      <c r="E215" s="37"/>
      <c r="F215" s="38"/>
      <c r="G215" s="39"/>
    </row>
    <row r="216" ht="15.75" customHeight="1">
      <c r="A216" s="35"/>
      <c r="B216" s="35"/>
      <c r="C216" s="35"/>
      <c r="D216" s="36"/>
      <c r="E216" s="37"/>
      <c r="F216" s="38"/>
      <c r="G216" s="39"/>
    </row>
    <row r="217" ht="15.75" customHeight="1">
      <c r="A217" s="35"/>
      <c r="B217" s="35"/>
      <c r="C217" s="35"/>
      <c r="D217" s="36"/>
      <c r="E217" s="37"/>
      <c r="F217" s="38"/>
      <c r="G217" s="39"/>
    </row>
    <row r="218" ht="15.75" customHeight="1">
      <c r="A218" s="35"/>
      <c r="B218" s="35"/>
      <c r="C218" s="35"/>
      <c r="D218" s="36"/>
      <c r="E218" s="37"/>
      <c r="F218" s="38"/>
      <c r="G218" s="39"/>
    </row>
    <row r="219" ht="15.75" customHeight="1">
      <c r="A219" s="35"/>
      <c r="B219" s="35"/>
      <c r="C219" s="35"/>
      <c r="D219" s="36"/>
      <c r="E219" s="37"/>
      <c r="F219" s="38"/>
      <c r="G219" s="39"/>
    </row>
    <row r="220" ht="15.75" customHeight="1">
      <c r="A220" s="35"/>
      <c r="B220" s="35"/>
      <c r="C220" s="35"/>
      <c r="D220" s="36"/>
      <c r="E220" s="37"/>
      <c r="F220" s="38"/>
    </row>
    <row r="221" ht="15.75" customHeight="1">
      <c r="A221" s="40"/>
      <c r="B221" s="40"/>
      <c r="C221" s="40"/>
      <c r="D221" s="40"/>
      <c r="E221" s="40"/>
      <c r="F221" s="40"/>
    </row>
    <row r="222" ht="15.75" customHeight="1">
      <c r="A222" s="40"/>
      <c r="B222" s="40"/>
      <c r="C222" s="40"/>
      <c r="D222" s="40"/>
      <c r="E222" s="40"/>
      <c r="F222" s="40"/>
    </row>
    <row r="223" ht="15.75" customHeight="1">
      <c r="A223" s="40"/>
      <c r="B223" s="40"/>
      <c r="C223" s="40"/>
      <c r="D223" s="40"/>
      <c r="E223" s="40"/>
      <c r="F223" s="40"/>
    </row>
    <row r="224" ht="15.75" customHeight="1">
      <c r="A224" s="40"/>
      <c r="B224" s="40"/>
      <c r="C224" s="40"/>
      <c r="D224" s="40"/>
      <c r="E224" s="40"/>
      <c r="F224" s="40"/>
    </row>
    <row r="225" ht="15.75" customHeight="1">
      <c r="A225" s="40"/>
      <c r="B225" s="40"/>
      <c r="C225" s="40"/>
      <c r="D225" s="40"/>
      <c r="E225" s="40"/>
      <c r="F225" s="40"/>
    </row>
    <row r="226" ht="15.75" customHeight="1">
      <c r="A226" s="40"/>
      <c r="B226" s="40"/>
      <c r="C226" s="40"/>
      <c r="D226" s="40"/>
      <c r="E226" s="40"/>
      <c r="F226" s="40"/>
    </row>
    <row r="227" ht="15.75" customHeight="1">
      <c r="A227" s="40"/>
      <c r="B227" s="40"/>
      <c r="C227" s="40"/>
      <c r="D227" s="40"/>
      <c r="E227" s="40"/>
      <c r="F227" s="40"/>
    </row>
    <row r="228" ht="15.75" customHeight="1">
      <c r="A228" s="40"/>
      <c r="B228" s="40"/>
      <c r="C228" s="40"/>
      <c r="D228" s="40"/>
      <c r="E228" s="40"/>
      <c r="F228" s="40"/>
    </row>
    <row r="229" ht="15.75" customHeight="1">
      <c r="A229" s="40"/>
      <c r="B229" s="40"/>
      <c r="C229" s="40"/>
      <c r="D229" s="40"/>
      <c r="E229" s="40"/>
      <c r="F229" s="40"/>
    </row>
    <row r="230" ht="15.75" customHeight="1">
      <c r="A230" s="40"/>
      <c r="B230" s="40"/>
      <c r="C230" s="40"/>
      <c r="D230" s="40"/>
      <c r="E230" s="40"/>
      <c r="F230" s="40"/>
    </row>
    <row r="231" ht="15.75" customHeight="1">
      <c r="A231" s="40"/>
      <c r="B231" s="40"/>
      <c r="C231" s="40"/>
      <c r="D231" s="40"/>
      <c r="E231" s="40"/>
      <c r="F231" s="40"/>
    </row>
    <row r="232" ht="15.75" customHeight="1">
      <c r="A232" s="40"/>
      <c r="B232" s="40"/>
      <c r="C232" s="40"/>
      <c r="D232" s="40"/>
      <c r="E232" s="40"/>
      <c r="F232" s="40"/>
    </row>
    <row r="233" ht="15.75" customHeight="1">
      <c r="A233" s="40"/>
      <c r="B233" s="40"/>
      <c r="C233" s="40"/>
      <c r="D233" s="40"/>
      <c r="E233" s="40"/>
      <c r="F233" s="40"/>
    </row>
    <row r="234" ht="15.75" customHeight="1">
      <c r="A234" s="40"/>
      <c r="B234" s="40"/>
      <c r="C234" s="40"/>
      <c r="D234" s="40"/>
      <c r="E234" s="40"/>
      <c r="F234" s="40"/>
    </row>
    <row r="235" ht="15.75" customHeight="1">
      <c r="A235" s="40"/>
      <c r="B235" s="40"/>
      <c r="C235" s="40"/>
      <c r="D235" s="40"/>
      <c r="E235" s="40"/>
      <c r="F235" s="40"/>
    </row>
    <row r="236" ht="15.75" customHeight="1">
      <c r="A236" s="40"/>
      <c r="B236" s="40"/>
      <c r="C236" s="40"/>
      <c r="D236" s="40"/>
      <c r="E236" s="40"/>
      <c r="F236" s="40"/>
    </row>
    <row r="237" ht="15.75" customHeight="1">
      <c r="A237" s="40"/>
      <c r="B237" s="40"/>
      <c r="C237" s="40"/>
      <c r="D237" s="40"/>
      <c r="E237" s="40"/>
      <c r="F237" s="40"/>
    </row>
    <row r="238" ht="15.75" customHeight="1">
      <c r="A238" s="40"/>
      <c r="B238" s="40"/>
      <c r="C238" s="40"/>
      <c r="D238" s="40"/>
      <c r="E238" s="40"/>
      <c r="F238" s="40"/>
    </row>
    <row r="239" ht="15.75" customHeight="1">
      <c r="A239" s="40"/>
      <c r="B239" s="40"/>
      <c r="C239" s="40"/>
      <c r="D239" s="40"/>
      <c r="E239" s="40"/>
      <c r="F239" s="40"/>
    </row>
    <row r="240" ht="15.75" customHeight="1">
      <c r="A240" s="40"/>
      <c r="B240" s="40"/>
      <c r="C240" s="40"/>
      <c r="D240" s="40"/>
      <c r="E240" s="40"/>
      <c r="F240" s="40"/>
    </row>
    <row r="241" ht="15.75" customHeight="1">
      <c r="A241" s="40"/>
      <c r="B241" s="40"/>
      <c r="C241" s="40"/>
      <c r="D241" s="40"/>
      <c r="E241" s="40"/>
      <c r="F241" s="40"/>
    </row>
    <row r="242" ht="15.75" customHeight="1">
      <c r="A242" s="40"/>
      <c r="B242" s="40"/>
      <c r="C242" s="40"/>
      <c r="D242" s="40"/>
      <c r="E242" s="40"/>
      <c r="F242" s="40"/>
    </row>
    <row r="243" ht="15.75" customHeight="1">
      <c r="A243" s="40"/>
      <c r="B243" s="40"/>
      <c r="C243" s="40"/>
      <c r="D243" s="40"/>
      <c r="E243" s="40"/>
      <c r="F243" s="40"/>
    </row>
    <row r="244" ht="15.75" customHeight="1">
      <c r="A244" s="40"/>
      <c r="B244" s="40"/>
      <c r="C244" s="40"/>
      <c r="D244" s="40"/>
      <c r="E244" s="40"/>
      <c r="F244" s="40"/>
    </row>
    <row r="245" ht="15.75" customHeight="1">
      <c r="A245" s="40"/>
      <c r="B245" s="40"/>
      <c r="C245" s="40"/>
      <c r="D245" s="40"/>
      <c r="E245" s="40"/>
      <c r="F245" s="40"/>
    </row>
    <row r="246" ht="15.75" customHeight="1">
      <c r="A246" s="40"/>
      <c r="B246" s="40"/>
      <c r="C246" s="40"/>
      <c r="D246" s="40"/>
      <c r="E246" s="40"/>
      <c r="F246" s="40"/>
    </row>
    <row r="247" ht="15.75" customHeight="1">
      <c r="A247" s="40"/>
      <c r="B247" s="40"/>
      <c r="C247" s="40"/>
      <c r="D247" s="40"/>
      <c r="E247" s="40"/>
      <c r="F247" s="40"/>
    </row>
    <row r="248" ht="15.75" customHeight="1">
      <c r="A248" s="40"/>
      <c r="B248" s="40"/>
      <c r="C248" s="40"/>
      <c r="D248" s="40"/>
      <c r="E248" s="40"/>
      <c r="F248" s="40"/>
    </row>
    <row r="249" ht="15.75" customHeight="1">
      <c r="A249" s="40"/>
      <c r="B249" s="40"/>
      <c r="C249" s="40"/>
      <c r="D249" s="40"/>
      <c r="E249" s="40"/>
      <c r="F249" s="40"/>
    </row>
    <row r="250" ht="15.75" customHeight="1">
      <c r="A250" s="40"/>
      <c r="B250" s="40"/>
      <c r="C250" s="40"/>
      <c r="D250" s="40"/>
      <c r="E250" s="40"/>
      <c r="F250" s="40"/>
    </row>
    <row r="251" ht="15.75" customHeight="1">
      <c r="A251" s="40"/>
      <c r="B251" s="40"/>
      <c r="C251" s="40"/>
      <c r="D251" s="40"/>
      <c r="E251" s="40"/>
      <c r="F251" s="40"/>
    </row>
    <row r="252" ht="15.75" customHeight="1">
      <c r="A252" s="40"/>
      <c r="B252" s="40"/>
      <c r="C252" s="40"/>
      <c r="D252" s="40"/>
      <c r="E252" s="40"/>
      <c r="F252" s="40"/>
    </row>
    <row r="253" ht="15.75" customHeight="1">
      <c r="A253" s="40"/>
      <c r="B253" s="40"/>
      <c r="C253" s="40"/>
      <c r="D253" s="40"/>
      <c r="E253" s="40"/>
      <c r="F253" s="40"/>
    </row>
    <row r="254" ht="15.75" customHeight="1">
      <c r="A254" s="40"/>
      <c r="B254" s="40"/>
      <c r="C254" s="40"/>
      <c r="D254" s="40"/>
      <c r="E254" s="40"/>
      <c r="F254" s="40"/>
    </row>
    <row r="255" ht="15.75" customHeight="1">
      <c r="A255" s="40"/>
      <c r="B255" s="40"/>
      <c r="C255" s="40"/>
      <c r="D255" s="40"/>
      <c r="E255" s="40"/>
      <c r="F255" s="40"/>
    </row>
    <row r="256" ht="15.75" customHeight="1">
      <c r="A256" s="40"/>
      <c r="B256" s="40"/>
      <c r="C256" s="40"/>
      <c r="D256" s="40"/>
      <c r="E256" s="40"/>
      <c r="F256" s="40"/>
    </row>
    <row r="257" ht="15.75" customHeight="1">
      <c r="A257" s="40"/>
      <c r="B257" s="40"/>
      <c r="C257" s="40"/>
      <c r="D257" s="40"/>
      <c r="E257" s="40"/>
      <c r="F257" s="40"/>
    </row>
    <row r="258" ht="15.75" customHeight="1">
      <c r="A258" s="40"/>
      <c r="B258" s="40"/>
      <c r="C258" s="40"/>
      <c r="D258" s="40"/>
      <c r="E258" s="40"/>
      <c r="F258" s="40"/>
    </row>
    <row r="259" ht="15.75" customHeight="1">
      <c r="A259" s="40"/>
      <c r="B259" s="40"/>
      <c r="C259" s="40"/>
      <c r="D259" s="40"/>
      <c r="E259" s="40"/>
      <c r="F259" s="40"/>
    </row>
    <row r="260" ht="15.75" customHeight="1">
      <c r="A260" s="40"/>
      <c r="B260" s="40"/>
      <c r="C260" s="40"/>
      <c r="D260" s="40"/>
      <c r="E260" s="40"/>
      <c r="F260" s="40"/>
    </row>
    <row r="261" ht="15.75" customHeight="1">
      <c r="A261" s="40"/>
      <c r="B261" s="40"/>
      <c r="C261" s="40"/>
      <c r="D261" s="40"/>
      <c r="E261" s="40"/>
      <c r="F261" s="40"/>
    </row>
    <row r="262" ht="15.75" customHeight="1">
      <c r="A262" s="40"/>
      <c r="B262" s="40"/>
      <c r="C262" s="40"/>
      <c r="D262" s="40"/>
      <c r="E262" s="40"/>
      <c r="F262" s="40"/>
    </row>
    <row r="263" ht="15.75" customHeight="1">
      <c r="A263" s="40"/>
      <c r="B263" s="40"/>
      <c r="C263" s="40"/>
      <c r="D263" s="40"/>
      <c r="E263" s="40"/>
      <c r="F263" s="40"/>
    </row>
    <row r="264" ht="15.75" customHeight="1">
      <c r="A264" s="40"/>
      <c r="B264" s="40"/>
      <c r="C264" s="40"/>
      <c r="D264" s="40"/>
      <c r="E264" s="40"/>
      <c r="F264" s="40"/>
    </row>
    <row r="265" ht="15.75" customHeight="1">
      <c r="A265" s="40"/>
      <c r="B265" s="40"/>
      <c r="C265" s="40"/>
      <c r="D265" s="40"/>
      <c r="E265" s="40"/>
      <c r="F265" s="40"/>
    </row>
    <row r="266" ht="15.75" customHeight="1">
      <c r="A266" s="40"/>
      <c r="B266" s="40"/>
      <c r="C266" s="40"/>
      <c r="D266" s="40"/>
      <c r="E266" s="40"/>
      <c r="F266" s="40"/>
    </row>
    <row r="267" ht="15.75" customHeight="1">
      <c r="A267" s="40"/>
      <c r="B267" s="40"/>
      <c r="C267" s="40"/>
      <c r="D267" s="40"/>
      <c r="E267" s="40"/>
      <c r="F267" s="40"/>
    </row>
    <row r="268" ht="15.75" customHeight="1">
      <c r="A268" s="40"/>
      <c r="B268" s="40"/>
      <c r="C268" s="40"/>
      <c r="D268" s="40"/>
      <c r="E268" s="40"/>
      <c r="F268" s="40"/>
    </row>
    <row r="269" ht="15.75" customHeight="1">
      <c r="A269" s="40"/>
      <c r="B269" s="40"/>
      <c r="C269" s="40"/>
      <c r="D269" s="40"/>
      <c r="E269" s="40"/>
      <c r="F269" s="40"/>
    </row>
    <row r="270" ht="15.75" customHeight="1">
      <c r="A270" s="40"/>
      <c r="B270" s="40"/>
      <c r="C270" s="40"/>
      <c r="D270" s="40"/>
      <c r="E270" s="40"/>
      <c r="F270" s="40"/>
    </row>
    <row r="271" ht="15.75" customHeight="1">
      <c r="A271" s="40"/>
      <c r="B271" s="40"/>
      <c r="C271" s="40"/>
      <c r="D271" s="40"/>
      <c r="E271" s="40"/>
      <c r="F271" s="40"/>
    </row>
    <row r="272" ht="15.75" customHeight="1">
      <c r="A272" s="40"/>
      <c r="B272" s="40"/>
      <c r="C272" s="40"/>
      <c r="D272" s="40"/>
      <c r="E272" s="40"/>
      <c r="F272" s="40"/>
    </row>
    <row r="273" ht="15.75" customHeight="1">
      <c r="A273" s="40"/>
      <c r="B273" s="40"/>
      <c r="C273" s="40"/>
      <c r="D273" s="40"/>
      <c r="E273" s="40"/>
      <c r="F273" s="40"/>
    </row>
    <row r="274" ht="15.75" customHeight="1">
      <c r="A274" s="40"/>
      <c r="B274" s="40"/>
      <c r="C274" s="40"/>
      <c r="D274" s="40"/>
      <c r="E274" s="40"/>
      <c r="F274" s="40"/>
    </row>
    <row r="275" ht="15.75" customHeight="1">
      <c r="A275" s="40"/>
      <c r="B275" s="40"/>
      <c r="C275" s="40"/>
      <c r="D275" s="40"/>
      <c r="E275" s="40"/>
      <c r="F275" s="40"/>
    </row>
    <row r="276" ht="15.75" customHeight="1">
      <c r="A276" s="40"/>
      <c r="B276" s="40"/>
      <c r="C276" s="40"/>
      <c r="D276" s="40"/>
      <c r="E276" s="40"/>
      <c r="F276" s="40"/>
    </row>
    <row r="277" ht="15.75" customHeight="1">
      <c r="A277" s="40"/>
      <c r="B277" s="40"/>
      <c r="C277" s="40"/>
      <c r="D277" s="40"/>
      <c r="E277" s="40"/>
      <c r="F277" s="40"/>
    </row>
    <row r="278" ht="15.75" customHeight="1">
      <c r="A278" s="40"/>
      <c r="B278" s="40"/>
      <c r="C278" s="40"/>
      <c r="D278" s="40"/>
      <c r="E278" s="40"/>
      <c r="F278" s="40"/>
    </row>
    <row r="279" ht="15.75" customHeight="1">
      <c r="A279" s="40"/>
      <c r="B279" s="40"/>
      <c r="C279" s="40"/>
      <c r="D279" s="40"/>
      <c r="E279" s="40"/>
      <c r="F279" s="40"/>
    </row>
    <row r="280" ht="15.75" customHeight="1">
      <c r="A280" s="40"/>
      <c r="B280" s="40"/>
      <c r="C280" s="40"/>
      <c r="D280" s="40"/>
      <c r="E280" s="40"/>
      <c r="F280" s="40"/>
    </row>
    <row r="281" ht="15.75" customHeight="1">
      <c r="A281" s="40"/>
      <c r="B281" s="40"/>
      <c r="C281" s="40"/>
      <c r="D281" s="40"/>
      <c r="E281" s="40"/>
      <c r="F281" s="40"/>
    </row>
    <row r="282" ht="15.75" customHeight="1">
      <c r="A282" s="40"/>
      <c r="B282" s="40"/>
      <c r="C282" s="40"/>
      <c r="D282" s="40"/>
      <c r="E282" s="40"/>
      <c r="F282" s="40"/>
    </row>
    <row r="283" ht="15.75" customHeight="1">
      <c r="A283" s="40"/>
      <c r="B283" s="40"/>
      <c r="C283" s="40"/>
      <c r="D283" s="40"/>
      <c r="E283" s="40"/>
      <c r="F283" s="40"/>
    </row>
    <row r="284" ht="15.75" customHeight="1">
      <c r="A284" s="40"/>
      <c r="B284" s="40"/>
      <c r="C284" s="40"/>
      <c r="D284" s="40"/>
      <c r="E284" s="40"/>
      <c r="F284" s="40"/>
    </row>
    <row r="285" ht="15.75" customHeight="1">
      <c r="A285" s="40"/>
      <c r="B285" s="40"/>
      <c r="C285" s="40"/>
      <c r="D285" s="40"/>
      <c r="E285" s="40"/>
      <c r="F285" s="40"/>
    </row>
    <row r="286" ht="15.75" customHeight="1">
      <c r="A286" s="40"/>
      <c r="B286" s="40"/>
      <c r="C286" s="40"/>
      <c r="D286" s="40"/>
      <c r="E286" s="40"/>
      <c r="F286" s="40"/>
    </row>
    <row r="287" ht="15.75" customHeight="1">
      <c r="A287" s="40"/>
      <c r="B287" s="40"/>
      <c r="C287" s="40"/>
      <c r="D287" s="40"/>
      <c r="E287" s="40"/>
      <c r="F287" s="40"/>
    </row>
    <row r="288" ht="15.75" customHeight="1">
      <c r="A288" s="40"/>
      <c r="B288" s="40"/>
      <c r="C288" s="40"/>
      <c r="D288" s="40"/>
      <c r="E288" s="40"/>
      <c r="F288" s="40"/>
    </row>
    <row r="289" ht="15.75" customHeight="1">
      <c r="A289" s="40"/>
      <c r="B289" s="40"/>
      <c r="C289" s="40"/>
      <c r="D289" s="40"/>
      <c r="E289" s="40"/>
      <c r="F289" s="40"/>
    </row>
    <row r="290" ht="15.75" customHeight="1">
      <c r="A290" s="40"/>
      <c r="B290" s="40"/>
      <c r="C290" s="40"/>
      <c r="D290" s="40"/>
      <c r="E290" s="40"/>
      <c r="F290" s="40"/>
    </row>
    <row r="291" ht="15.75" customHeight="1">
      <c r="A291" s="40"/>
      <c r="B291" s="40"/>
      <c r="C291" s="40"/>
      <c r="D291" s="40"/>
      <c r="E291" s="40"/>
      <c r="F291" s="40"/>
    </row>
    <row r="292" ht="15.75" customHeight="1">
      <c r="A292" s="40"/>
      <c r="B292" s="40"/>
      <c r="C292" s="40"/>
      <c r="D292" s="40"/>
      <c r="E292" s="40"/>
      <c r="F292" s="40"/>
    </row>
    <row r="293" ht="15.75" customHeight="1">
      <c r="A293" s="40"/>
      <c r="B293" s="40"/>
      <c r="C293" s="40"/>
      <c r="D293" s="40"/>
      <c r="E293" s="40"/>
      <c r="F293" s="40"/>
    </row>
    <row r="294" ht="15.75" customHeight="1">
      <c r="A294" s="40"/>
      <c r="B294" s="40"/>
      <c r="C294" s="40"/>
      <c r="D294" s="40"/>
      <c r="E294" s="40"/>
      <c r="F294" s="40"/>
    </row>
    <row r="295" ht="15.75" customHeight="1">
      <c r="A295" s="40"/>
      <c r="B295" s="40"/>
      <c r="C295" s="40"/>
      <c r="D295" s="40"/>
      <c r="E295" s="40"/>
      <c r="F295" s="40"/>
    </row>
    <row r="296" ht="15.75" customHeight="1">
      <c r="A296" s="40"/>
      <c r="B296" s="40"/>
      <c r="C296" s="40"/>
      <c r="D296" s="40"/>
      <c r="E296" s="40"/>
      <c r="F296" s="40"/>
    </row>
    <row r="297" ht="15.75" customHeight="1">
      <c r="A297" s="40"/>
      <c r="B297" s="40"/>
      <c r="C297" s="40"/>
      <c r="D297" s="40"/>
      <c r="E297" s="40"/>
      <c r="F297" s="40"/>
    </row>
    <row r="298" ht="15.75" customHeight="1">
      <c r="A298" s="40"/>
      <c r="B298" s="40"/>
      <c r="C298" s="40"/>
      <c r="D298" s="40"/>
      <c r="E298" s="40"/>
      <c r="F298" s="40"/>
    </row>
    <row r="299" ht="15.75" customHeight="1">
      <c r="A299" s="40"/>
      <c r="B299" s="40"/>
      <c r="C299" s="40"/>
      <c r="D299" s="40"/>
      <c r="E299" s="40"/>
      <c r="F299" s="40"/>
    </row>
    <row r="300" ht="15.75" customHeight="1">
      <c r="A300" s="40"/>
      <c r="B300" s="40"/>
      <c r="C300" s="40"/>
      <c r="D300" s="40"/>
      <c r="E300" s="40"/>
      <c r="F300" s="40"/>
    </row>
    <row r="301" ht="15.75" customHeight="1">
      <c r="A301" s="40"/>
      <c r="B301" s="40"/>
      <c r="C301" s="40"/>
      <c r="D301" s="40"/>
      <c r="E301" s="40"/>
      <c r="F301" s="40"/>
    </row>
    <row r="302" ht="15.75" customHeight="1">
      <c r="A302" s="40"/>
      <c r="B302" s="40"/>
      <c r="C302" s="40"/>
      <c r="D302" s="40"/>
      <c r="E302" s="40"/>
      <c r="F302" s="40"/>
    </row>
    <row r="303" ht="15.75" customHeight="1">
      <c r="A303" s="40"/>
      <c r="B303" s="40"/>
      <c r="C303" s="40"/>
      <c r="D303" s="40"/>
      <c r="E303" s="40"/>
      <c r="F303" s="40"/>
    </row>
    <row r="304" ht="15.75" customHeight="1">
      <c r="A304" s="40"/>
      <c r="B304" s="40"/>
      <c r="C304" s="40"/>
      <c r="D304" s="40"/>
      <c r="E304" s="40"/>
      <c r="F304" s="40"/>
    </row>
    <row r="305" ht="15.75" customHeight="1">
      <c r="A305" s="40"/>
      <c r="B305" s="40"/>
      <c r="C305" s="40"/>
      <c r="D305" s="40"/>
      <c r="E305" s="40"/>
      <c r="F305" s="40"/>
    </row>
    <row r="306" ht="15.75" customHeight="1">
      <c r="A306" s="40"/>
      <c r="B306" s="40"/>
      <c r="C306" s="40"/>
      <c r="D306" s="40"/>
      <c r="E306" s="40"/>
      <c r="F306" s="40"/>
    </row>
    <row r="307" ht="15.75" customHeight="1">
      <c r="A307" s="40"/>
      <c r="B307" s="40"/>
      <c r="C307" s="40"/>
      <c r="D307" s="40"/>
      <c r="E307" s="40"/>
      <c r="F307" s="40"/>
    </row>
    <row r="308" ht="15.75" customHeight="1">
      <c r="A308" s="40"/>
      <c r="B308" s="40"/>
      <c r="C308" s="40"/>
      <c r="D308" s="40"/>
      <c r="E308" s="40"/>
      <c r="F308" s="40"/>
    </row>
    <row r="309" ht="15.75" customHeight="1">
      <c r="A309" s="40"/>
      <c r="B309" s="40"/>
      <c r="C309" s="40"/>
      <c r="D309" s="40"/>
      <c r="E309" s="40"/>
      <c r="F309" s="40"/>
    </row>
    <row r="310" ht="15.75" customHeight="1">
      <c r="A310" s="40"/>
      <c r="B310" s="40"/>
      <c r="C310" s="40"/>
      <c r="D310" s="40"/>
      <c r="E310" s="40"/>
      <c r="F310" s="40"/>
    </row>
    <row r="311" ht="15.75" customHeight="1">
      <c r="A311" s="40"/>
      <c r="B311" s="40"/>
      <c r="C311" s="40"/>
      <c r="D311" s="40"/>
      <c r="E311" s="40"/>
      <c r="F311" s="40"/>
    </row>
    <row r="312" ht="15.75" customHeight="1">
      <c r="A312" s="40"/>
      <c r="B312" s="40"/>
      <c r="C312" s="40"/>
      <c r="D312" s="40"/>
      <c r="E312" s="40"/>
      <c r="F312" s="40"/>
    </row>
    <row r="313" ht="15.75" customHeight="1">
      <c r="A313" s="40"/>
      <c r="B313" s="40"/>
      <c r="C313" s="40"/>
      <c r="D313" s="40"/>
      <c r="E313" s="40"/>
      <c r="F313" s="40"/>
    </row>
    <row r="314" ht="15.75" customHeight="1">
      <c r="A314" s="40"/>
      <c r="B314" s="40"/>
      <c r="C314" s="40"/>
      <c r="D314" s="40"/>
      <c r="E314" s="40"/>
      <c r="F314" s="40"/>
    </row>
    <row r="315" ht="15.75" customHeight="1">
      <c r="A315" s="40"/>
      <c r="B315" s="40"/>
      <c r="C315" s="40"/>
      <c r="D315" s="40"/>
      <c r="E315" s="40"/>
      <c r="F315" s="40"/>
    </row>
    <row r="316" ht="15.75" customHeight="1">
      <c r="A316" s="40"/>
      <c r="B316" s="40"/>
      <c r="C316" s="40"/>
      <c r="D316" s="40"/>
      <c r="E316" s="40"/>
      <c r="F316" s="40"/>
    </row>
    <row r="317" ht="15.75" customHeight="1">
      <c r="A317" s="40"/>
      <c r="B317" s="40"/>
      <c r="C317" s="40"/>
      <c r="D317" s="40"/>
      <c r="E317" s="40"/>
      <c r="F317" s="40"/>
    </row>
    <row r="318" ht="15.75" customHeight="1">
      <c r="A318" s="40"/>
      <c r="B318" s="40"/>
      <c r="C318" s="40"/>
      <c r="D318" s="40"/>
      <c r="E318" s="40"/>
      <c r="F318" s="40"/>
    </row>
    <row r="319" ht="15.75" customHeight="1">
      <c r="A319" s="40"/>
      <c r="B319" s="40"/>
      <c r="C319" s="40"/>
      <c r="D319" s="40"/>
      <c r="E319" s="40"/>
      <c r="F319" s="40"/>
    </row>
    <row r="320" ht="15.75" customHeight="1">
      <c r="A320" s="40"/>
      <c r="B320" s="40"/>
      <c r="C320" s="40"/>
      <c r="D320" s="40"/>
      <c r="E320" s="40"/>
      <c r="F320" s="40"/>
    </row>
    <row r="321" ht="15.75" customHeight="1">
      <c r="A321" s="40"/>
      <c r="B321" s="40"/>
      <c r="C321" s="40"/>
      <c r="D321" s="40"/>
      <c r="E321" s="40"/>
      <c r="F321" s="40"/>
    </row>
    <row r="322" ht="15.75" customHeight="1">
      <c r="A322" s="40"/>
      <c r="B322" s="40"/>
      <c r="C322" s="40"/>
      <c r="D322" s="40"/>
      <c r="E322" s="40"/>
      <c r="F322" s="40"/>
    </row>
    <row r="323" ht="15.75" customHeight="1">
      <c r="A323" s="40"/>
      <c r="B323" s="40"/>
      <c r="C323" s="40"/>
      <c r="D323" s="40"/>
      <c r="E323" s="40"/>
      <c r="F323" s="40"/>
    </row>
    <row r="324" ht="15.75" customHeight="1">
      <c r="A324" s="40"/>
      <c r="B324" s="40"/>
      <c r="C324" s="40"/>
      <c r="D324" s="40"/>
      <c r="E324" s="40"/>
      <c r="F324" s="40"/>
    </row>
    <row r="325" ht="15.75" customHeight="1">
      <c r="A325" s="40"/>
      <c r="B325" s="40"/>
      <c r="C325" s="40"/>
      <c r="D325" s="40"/>
      <c r="E325" s="40"/>
      <c r="F325" s="40"/>
    </row>
    <row r="326" ht="15.75" customHeight="1">
      <c r="A326" s="40"/>
      <c r="B326" s="40"/>
      <c r="C326" s="40"/>
      <c r="D326" s="40"/>
      <c r="E326" s="40"/>
      <c r="F326" s="40"/>
    </row>
    <row r="327" ht="15.75" customHeight="1">
      <c r="A327" s="40"/>
      <c r="B327" s="40"/>
      <c r="C327" s="40"/>
      <c r="D327" s="40"/>
      <c r="E327" s="40"/>
      <c r="F327" s="40"/>
    </row>
    <row r="328" ht="15.75" customHeight="1">
      <c r="A328" s="40"/>
      <c r="B328" s="40"/>
      <c r="C328" s="40"/>
      <c r="D328" s="40"/>
      <c r="E328" s="40"/>
      <c r="F328" s="40"/>
    </row>
    <row r="329" ht="15.75" customHeight="1">
      <c r="A329" s="40"/>
      <c r="B329" s="40"/>
      <c r="C329" s="40"/>
      <c r="D329" s="40"/>
      <c r="E329" s="40"/>
      <c r="F329" s="40"/>
    </row>
    <row r="330" ht="15.75" customHeight="1">
      <c r="A330" s="40"/>
      <c r="B330" s="40"/>
      <c r="C330" s="40"/>
      <c r="D330" s="40"/>
      <c r="E330" s="40"/>
      <c r="F330" s="40"/>
    </row>
    <row r="331" ht="15.75" customHeight="1">
      <c r="A331" s="40"/>
      <c r="B331" s="40"/>
      <c r="C331" s="40"/>
      <c r="D331" s="40"/>
      <c r="E331" s="40"/>
      <c r="F331" s="40"/>
    </row>
    <row r="332" ht="15.75" customHeight="1">
      <c r="A332" s="40"/>
      <c r="B332" s="40"/>
      <c r="C332" s="40"/>
      <c r="D332" s="40"/>
      <c r="E332" s="40"/>
      <c r="F332" s="40"/>
    </row>
    <row r="333" ht="15.75" customHeight="1">
      <c r="A333" s="40"/>
      <c r="B333" s="40"/>
      <c r="C333" s="40"/>
      <c r="D333" s="40"/>
      <c r="E333" s="40"/>
      <c r="F333" s="40"/>
    </row>
    <row r="334" ht="15.75" customHeight="1">
      <c r="A334" s="40"/>
      <c r="B334" s="40"/>
      <c r="C334" s="40"/>
      <c r="D334" s="40"/>
      <c r="E334" s="40"/>
      <c r="F334" s="40"/>
    </row>
    <row r="335" ht="15.75" customHeight="1">
      <c r="A335" s="40"/>
      <c r="B335" s="40"/>
      <c r="C335" s="40"/>
      <c r="D335" s="40"/>
      <c r="E335" s="40"/>
      <c r="F335" s="40"/>
    </row>
    <row r="336" ht="15.75" customHeight="1">
      <c r="A336" s="40"/>
      <c r="B336" s="40"/>
      <c r="C336" s="40"/>
      <c r="D336" s="40"/>
      <c r="E336" s="40"/>
      <c r="F336" s="40"/>
    </row>
    <row r="337" ht="15.75" customHeight="1">
      <c r="A337" s="40"/>
      <c r="B337" s="40"/>
      <c r="C337" s="40"/>
      <c r="D337" s="40"/>
      <c r="E337" s="40"/>
      <c r="F337" s="40"/>
    </row>
    <row r="338" ht="15.75" customHeight="1">
      <c r="A338" s="40"/>
      <c r="B338" s="40"/>
      <c r="C338" s="40"/>
      <c r="D338" s="40"/>
      <c r="E338" s="40"/>
      <c r="F338" s="40"/>
    </row>
    <row r="339" ht="15.75" customHeight="1">
      <c r="A339" s="40"/>
      <c r="B339" s="40"/>
      <c r="C339" s="40"/>
      <c r="D339" s="40"/>
      <c r="E339" s="40"/>
      <c r="F339" s="40"/>
    </row>
    <row r="340" ht="15.75" customHeight="1">
      <c r="A340" s="40"/>
      <c r="B340" s="40"/>
      <c r="C340" s="40"/>
      <c r="D340" s="40"/>
      <c r="E340" s="40"/>
      <c r="F340" s="40"/>
    </row>
    <row r="341" ht="15.75" customHeight="1">
      <c r="A341" s="40"/>
      <c r="B341" s="40"/>
      <c r="C341" s="40"/>
      <c r="D341" s="40"/>
      <c r="E341" s="40"/>
      <c r="F341" s="40"/>
    </row>
    <row r="342" ht="15.75" customHeight="1">
      <c r="A342" s="40"/>
      <c r="B342" s="40"/>
      <c r="C342" s="40"/>
      <c r="D342" s="40"/>
      <c r="E342" s="40"/>
      <c r="F342" s="40"/>
    </row>
    <row r="343" ht="15.75" customHeight="1">
      <c r="A343" s="40"/>
      <c r="B343" s="40"/>
      <c r="C343" s="40"/>
      <c r="D343" s="40"/>
      <c r="E343" s="40"/>
      <c r="F343" s="40"/>
    </row>
    <row r="344" ht="15.75" customHeight="1">
      <c r="A344" s="40"/>
      <c r="B344" s="40"/>
      <c r="C344" s="40"/>
      <c r="D344" s="40"/>
      <c r="E344" s="40"/>
      <c r="F344" s="40"/>
    </row>
    <row r="345" ht="15.75" customHeight="1">
      <c r="A345" s="40"/>
      <c r="B345" s="40"/>
      <c r="C345" s="40"/>
      <c r="D345" s="40"/>
      <c r="E345" s="40"/>
      <c r="F345" s="40"/>
    </row>
    <row r="346" ht="15.75" customHeight="1">
      <c r="A346" s="40"/>
      <c r="B346" s="40"/>
      <c r="C346" s="40"/>
      <c r="D346" s="40"/>
      <c r="E346" s="40"/>
      <c r="F346" s="40"/>
    </row>
    <row r="347" ht="15.75" customHeight="1">
      <c r="A347" s="40"/>
      <c r="B347" s="40"/>
      <c r="C347" s="40"/>
      <c r="D347" s="40"/>
      <c r="E347" s="40"/>
      <c r="F347" s="40"/>
    </row>
    <row r="348" ht="15.75" customHeight="1">
      <c r="A348" s="40"/>
      <c r="B348" s="40"/>
      <c r="C348" s="40"/>
      <c r="D348" s="40"/>
      <c r="E348" s="40"/>
      <c r="F348" s="40"/>
    </row>
    <row r="349" ht="15.75" customHeight="1">
      <c r="A349" s="40"/>
      <c r="B349" s="40"/>
      <c r="C349" s="40"/>
      <c r="D349" s="40"/>
      <c r="E349" s="40"/>
      <c r="F349" s="40"/>
    </row>
    <row r="350" ht="15.75" customHeight="1">
      <c r="A350" s="40"/>
      <c r="B350" s="40"/>
      <c r="C350" s="40"/>
      <c r="D350" s="40"/>
      <c r="E350" s="40"/>
      <c r="F350" s="40"/>
    </row>
    <row r="351" ht="15.75" customHeight="1">
      <c r="A351" s="40"/>
      <c r="B351" s="40"/>
      <c r="C351" s="40"/>
      <c r="D351" s="40"/>
      <c r="E351" s="40"/>
      <c r="F351" s="40"/>
    </row>
    <row r="352" ht="15.75" customHeight="1">
      <c r="A352" s="40"/>
      <c r="B352" s="40"/>
      <c r="C352" s="40"/>
      <c r="D352" s="40"/>
      <c r="E352" s="40"/>
      <c r="F352" s="40"/>
    </row>
    <row r="353" ht="15.75" customHeight="1">
      <c r="A353" s="40"/>
      <c r="B353" s="40"/>
      <c r="C353" s="40"/>
      <c r="D353" s="40"/>
      <c r="E353" s="40"/>
      <c r="F353" s="40"/>
    </row>
    <row r="354" ht="15.75" customHeight="1">
      <c r="A354" s="40"/>
      <c r="B354" s="40"/>
      <c r="C354" s="40"/>
      <c r="D354" s="40"/>
      <c r="E354" s="40"/>
      <c r="F354" s="40"/>
    </row>
    <row r="355" ht="15.75" customHeight="1">
      <c r="A355" s="40"/>
      <c r="B355" s="40"/>
      <c r="C355" s="40"/>
      <c r="D355" s="40"/>
      <c r="E355" s="40"/>
      <c r="F355" s="40"/>
    </row>
    <row r="356" ht="15.75" customHeight="1">
      <c r="A356" s="40"/>
      <c r="B356" s="40"/>
      <c r="C356" s="40"/>
      <c r="D356" s="40"/>
      <c r="E356" s="40"/>
      <c r="F356" s="40"/>
    </row>
    <row r="357" ht="15.75" customHeight="1">
      <c r="A357" s="40"/>
      <c r="B357" s="40"/>
      <c r="C357" s="40"/>
      <c r="D357" s="40"/>
      <c r="E357" s="40"/>
      <c r="F357" s="40"/>
    </row>
    <row r="358" ht="15.75" customHeight="1">
      <c r="A358" s="40"/>
      <c r="B358" s="40"/>
      <c r="C358" s="40"/>
      <c r="D358" s="40"/>
      <c r="E358" s="40"/>
      <c r="F358" s="40"/>
    </row>
    <row r="359" ht="15.75" customHeight="1">
      <c r="A359" s="40"/>
      <c r="B359" s="40"/>
      <c r="C359" s="40"/>
      <c r="D359" s="40"/>
      <c r="E359" s="40"/>
      <c r="F359" s="40"/>
    </row>
    <row r="360" ht="15.75" customHeight="1">
      <c r="A360" s="40"/>
      <c r="B360" s="40"/>
      <c r="C360" s="40"/>
      <c r="D360" s="40"/>
      <c r="E360" s="40"/>
      <c r="F360" s="40"/>
    </row>
    <row r="361" ht="15.75" customHeight="1">
      <c r="A361" s="40"/>
      <c r="B361" s="40"/>
      <c r="C361" s="40"/>
      <c r="D361" s="40"/>
      <c r="E361" s="40"/>
      <c r="F361" s="40"/>
    </row>
    <row r="362" ht="15.75" customHeight="1">
      <c r="A362" s="40"/>
      <c r="B362" s="40"/>
      <c r="C362" s="40"/>
      <c r="D362" s="40"/>
      <c r="E362" s="40"/>
      <c r="F362" s="40"/>
    </row>
    <row r="363" ht="15.75" customHeight="1">
      <c r="A363" s="40"/>
      <c r="B363" s="40"/>
      <c r="C363" s="40"/>
      <c r="D363" s="40"/>
      <c r="E363" s="40"/>
      <c r="F363" s="40"/>
    </row>
    <row r="364" ht="15.75" customHeight="1">
      <c r="A364" s="40"/>
      <c r="B364" s="40"/>
      <c r="C364" s="40"/>
      <c r="D364" s="40"/>
      <c r="E364" s="40"/>
      <c r="F364" s="40"/>
    </row>
    <row r="365" ht="15.75" customHeight="1">
      <c r="A365" s="40"/>
      <c r="B365" s="40"/>
      <c r="C365" s="40"/>
      <c r="D365" s="40"/>
      <c r="E365" s="40"/>
      <c r="F365" s="40"/>
    </row>
    <row r="366" ht="15.75" customHeight="1">
      <c r="A366" s="40"/>
      <c r="B366" s="40"/>
      <c r="C366" s="40"/>
      <c r="D366" s="40"/>
      <c r="E366" s="40"/>
      <c r="F366" s="40"/>
    </row>
    <row r="367" ht="15.75" customHeight="1">
      <c r="A367" s="40"/>
      <c r="B367" s="40"/>
      <c r="C367" s="40"/>
      <c r="D367" s="40"/>
      <c r="E367" s="40"/>
      <c r="F367" s="40"/>
    </row>
    <row r="368" ht="15.75" customHeight="1">
      <c r="A368" s="40"/>
      <c r="B368" s="40"/>
      <c r="C368" s="40"/>
      <c r="D368" s="40"/>
      <c r="E368" s="40"/>
      <c r="F368" s="40"/>
    </row>
    <row r="369" ht="15.75" customHeight="1">
      <c r="A369" s="40"/>
      <c r="B369" s="40"/>
      <c r="C369" s="40"/>
      <c r="D369" s="40"/>
      <c r="E369" s="40"/>
      <c r="F369" s="40"/>
    </row>
    <row r="370" ht="15.75" customHeight="1">
      <c r="A370" s="40"/>
      <c r="B370" s="40"/>
      <c r="C370" s="40"/>
      <c r="D370" s="40"/>
      <c r="E370" s="40"/>
      <c r="F370" s="40"/>
    </row>
    <row r="371" ht="15.75" customHeight="1">
      <c r="A371" s="40"/>
      <c r="B371" s="40"/>
      <c r="C371" s="40"/>
      <c r="D371" s="40"/>
      <c r="E371" s="40"/>
      <c r="F371" s="40"/>
    </row>
    <row r="372" ht="15.75" customHeight="1">
      <c r="A372" s="40"/>
      <c r="B372" s="40"/>
      <c r="C372" s="40"/>
      <c r="D372" s="40"/>
      <c r="E372" s="40"/>
      <c r="F372" s="40"/>
    </row>
    <row r="373" ht="15.75" customHeight="1">
      <c r="A373" s="40"/>
      <c r="B373" s="40"/>
      <c r="C373" s="40"/>
      <c r="D373" s="40"/>
      <c r="E373" s="40"/>
      <c r="F373" s="40"/>
    </row>
    <row r="374" ht="15.75" customHeight="1">
      <c r="A374" s="40"/>
      <c r="B374" s="40"/>
      <c r="C374" s="40"/>
      <c r="D374" s="40"/>
      <c r="E374" s="40"/>
      <c r="F374" s="40"/>
    </row>
    <row r="375" ht="15.75" customHeight="1">
      <c r="A375" s="40"/>
      <c r="B375" s="40"/>
      <c r="C375" s="40"/>
      <c r="D375" s="40"/>
      <c r="E375" s="40"/>
      <c r="F375" s="40"/>
    </row>
    <row r="376" ht="15.75" customHeight="1">
      <c r="A376" s="40"/>
      <c r="B376" s="40"/>
      <c r="C376" s="40"/>
      <c r="D376" s="40"/>
      <c r="E376" s="40"/>
      <c r="F376" s="40"/>
    </row>
    <row r="377" ht="15.75" customHeight="1">
      <c r="A377" s="40"/>
      <c r="B377" s="40"/>
      <c r="C377" s="40"/>
      <c r="D377" s="40"/>
      <c r="E377" s="40"/>
      <c r="F377" s="40"/>
    </row>
    <row r="378" ht="15.75" customHeight="1">
      <c r="A378" s="40"/>
      <c r="B378" s="40"/>
      <c r="C378" s="40"/>
      <c r="D378" s="40"/>
      <c r="E378" s="40"/>
      <c r="F378" s="40"/>
    </row>
    <row r="379" ht="15.75" customHeight="1">
      <c r="A379" s="40"/>
      <c r="B379" s="40"/>
      <c r="C379" s="40"/>
      <c r="D379" s="40"/>
      <c r="E379" s="40"/>
      <c r="F379" s="40"/>
    </row>
    <row r="380" ht="15.75" customHeight="1">
      <c r="A380" s="40"/>
      <c r="B380" s="40"/>
      <c r="C380" s="40"/>
      <c r="D380" s="40"/>
      <c r="E380" s="40"/>
      <c r="F380" s="40"/>
    </row>
    <row r="381" ht="15.75" customHeight="1">
      <c r="A381" s="40"/>
      <c r="B381" s="40"/>
      <c r="C381" s="40"/>
      <c r="D381" s="40"/>
      <c r="E381" s="40"/>
      <c r="F381" s="40"/>
    </row>
    <row r="382" ht="15.75" customHeight="1">
      <c r="A382" s="40"/>
      <c r="B382" s="40"/>
      <c r="C382" s="40"/>
      <c r="D382" s="40"/>
      <c r="E382" s="40"/>
      <c r="F382" s="40"/>
    </row>
    <row r="383" ht="15.75" customHeight="1">
      <c r="A383" s="40"/>
      <c r="B383" s="40"/>
      <c r="C383" s="40"/>
      <c r="D383" s="40"/>
      <c r="E383" s="40"/>
      <c r="F383" s="40"/>
    </row>
    <row r="384" ht="15.75" customHeight="1">
      <c r="A384" s="40"/>
      <c r="B384" s="40"/>
      <c r="C384" s="40"/>
      <c r="D384" s="40"/>
      <c r="E384" s="40"/>
      <c r="F384" s="40"/>
    </row>
    <row r="385" ht="15.75" customHeight="1">
      <c r="A385" s="40"/>
      <c r="B385" s="40"/>
      <c r="C385" s="40"/>
      <c r="D385" s="40"/>
      <c r="E385" s="40"/>
      <c r="F385" s="40"/>
    </row>
    <row r="386" ht="15.75" customHeight="1">
      <c r="A386" s="40"/>
      <c r="B386" s="40"/>
      <c r="C386" s="40"/>
      <c r="D386" s="40"/>
      <c r="E386" s="40"/>
      <c r="F386" s="40"/>
    </row>
    <row r="387" ht="15.75" customHeight="1">
      <c r="A387" s="40"/>
      <c r="B387" s="40"/>
      <c r="C387" s="40"/>
      <c r="D387" s="40"/>
      <c r="E387" s="40"/>
      <c r="F387" s="40"/>
    </row>
    <row r="388" ht="15.75" customHeight="1">
      <c r="A388" s="40"/>
      <c r="B388" s="40"/>
      <c r="C388" s="40"/>
      <c r="D388" s="40"/>
      <c r="E388" s="40"/>
      <c r="F388" s="40"/>
    </row>
    <row r="389" ht="15.75" customHeight="1">
      <c r="A389" s="40"/>
      <c r="B389" s="40"/>
      <c r="C389" s="40"/>
      <c r="D389" s="40"/>
      <c r="E389" s="40"/>
      <c r="F389" s="40"/>
    </row>
    <row r="390" ht="15.75" customHeight="1">
      <c r="A390" s="40"/>
      <c r="B390" s="40"/>
      <c r="C390" s="40"/>
      <c r="D390" s="40"/>
      <c r="E390" s="40"/>
      <c r="F390" s="40"/>
    </row>
    <row r="391" ht="15.75" customHeight="1">
      <c r="A391" s="40"/>
      <c r="B391" s="40"/>
      <c r="C391" s="40"/>
      <c r="D391" s="40"/>
      <c r="E391" s="40"/>
      <c r="F391" s="40"/>
    </row>
    <row r="392" ht="15.75" customHeight="1">
      <c r="A392" s="40"/>
      <c r="B392" s="40"/>
      <c r="C392" s="40"/>
      <c r="D392" s="40"/>
      <c r="E392" s="40"/>
      <c r="F392" s="40"/>
    </row>
    <row r="393" ht="15.75" customHeight="1">
      <c r="A393" s="40"/>
      <c r="B393" s="40"/>
      <c r="C393" s="40"/>
      <c r="D393" s="40"/>
      <c r="E393" s="40"/>
      <c r="F393" s="40"/>
    </row>
    <row r="394" ht="15.75" customHeight="1">
      <c r="A394" s="40"/>
      <c r="B394" s="40"/>
      <c r="C394" s="40"/>
      <c r="D394" s="40"/>
      <c r="E394" s="40"/>
      <c r="F394" s="40"/>
    </row>
    <row r="395" ht="15.75" customHeight="1">
      <c r="A395" s="40"/>
      <c r="B395" s="40"/>
      <c r="C395" s="40"/>
      <c r="D395" s="40"/>
      <c r="E395" s="40"/>
      <c r="F395" s="40"/>
    </row>
    <row r="396" ht="15.75" customHeight="1">
      <c r="A396" s="40"/>
      <c r="B396" s="40"/>
      <c r="C396" s="40"/>
      <c r="D396" s="40"/>
      <c r="E396" s="40"/>
      <c r="F396" s="40"/>
    </row>
    <row r="397" ht="15.75" customHeight="1">
      <c r="A397" s="40"/>
      <c r="B397" s="40"/>
      <c r="C397" s="40"/>
      <c r="D397" s="40"/>
      <c r="E397" s="40"/>
      <c r="F397" s="40"/>
    </row>
    <row r="398" ht="15.75" customHeight="1">
      <c r="A398" s="40"/>
      <c r="B398" s="40"/>
      <c r="C398" s="40"/>
      <c r="D398" s="40"/>
      <c r="E398" s="40"/>
      <c r="F398" s="40"/>
    </row>
    <row r="399" ht="15.75" customHeight="1">
      <c r="A399" s="40"/>
      <c r="B399" s="40"/>
      <c r="C399" s="40"/>
      <c r="D399" s="40"/>
      <c r="E399" s="40"/>
      <c r="F399" s="40"/>
    </row>
    <row r="400" ht="15.75" customHeight="1">
      <c r="A400" s="40"/>
      <c r="B400" s="40"/>
      <c r="C400" s="40"/>
      <c r="D400" s="40"/>
      <c r="E400" s="40"/>
      <c r="F400" s="40"/>
    </row>
    <row r="401" ht="15.75" customHeight="1">
      <c r="A401" s="40"/>
      <c r="B401" s="40"/>
      <c r="C401" s="40"/>
      <c r="D401" s="40"/>
      <c r="E401" s="40"/>
      <c r="F401" s="40"/>
    </row>
    <row r="402" ht="15.75" customHeight="1">
      <c r="A402" s="40"/>
      <c r="B402" s="40"/>
      <c r="C402" s="40"/>
      <c r="D402" s="40"/>
      <c r="E402" s="40"/>
      <c r="F402" s="40"/>
    </row>
    <row r="403" ht="15.75" customHeight="1">
      <c r="A403" s="40"/>
      <c r="B403" s="40"/>
      <c r="C403" s="40"/>
      <c r="D403" s="40"/>
      <c r="E403" s="40"/>
      <c r="F403" s="40"/>
    </row>
    <row r="404" ht="15.75" customHeight="1">
      <c r="A404" s="40"/>
      <c r="B404" s="40"/>
      <c r="C404" s="40"/>
      <c r="D404" s="40"/>
      <c r="E404" s="40"/>
      <c r="F404" s="40"/>
    </row>
    <row r="405" ht="15.75" customHeight="1">
      <c r="A405" s="40"/>
      <c r="B405" s="40"/>
      <c r="C405" s="40"/>
      <c r="D405" s="40"/>
      <c r="E405" s="40"/>
      <c r="F405" s="40"/>
    </row>
    <row r="406" ht="15.75" customHeight="1">
      <c r="A406" s="40"/>
      <c r="B406" s="40"/>
      <c r="C406" s="40"/>
      <c r="D406" s="40"/>
      <c r="E406" s="40"/>
      <c r="F406" s="40"/>
    </row>
    <row r="407" ht="15.75" customHeight="1">
      <c r="A407" s="40"/>
      <c r="B407" s="40"/>
      <c r="C407" s="40"/>
      <c r="D407" s="40"/>
      <c r="E407" s="40"/>
      <c r="F407" s="40"/>
    </row>
    <row r="408" ht="15.75" customHeight="1">
      <c r="A408" s="40"/>
      <c r="B408" s="40"/>
      <c r="C408" s="40"/>
      <c r="D408" s="40"/>
      <c r="E408" s="40"/>
      <c r="F408" s="40"/>
    </row>
    <row r="409" ht="15.75" customHeight="1">
      <c r="A409" s="40"/>
      <c r="B409" s="40"/>
      <c r="C409" s="40"/>
      <c r="D409" s="40"/>
      <c r="E409" s="40"/>
      <c r="F409" s="40"/>
    </row>
    <row r="410" ht="15.75" customHeight="1">
      <c r="A410" s="40"/>
      <c r="B410" s="40"/>
      <c r="C410" s="40"/>
      <c r="D410" s="40"/>
      <c r="E410" s="40"/>
      <c r="F410" s="40"/>
    </row>
    <row r="411" ht="15.75" customHeight="1">
      <c r="A411" s="40"/>
      <c r="B411" s="40"/>
      <c r="C411" s="40"/>
      <c r="D411" s="40"/>
      <c r="E411" s="40"/>
      <c r="F411" s="40"/>
    </row>
    <row r="412" ht="15.75" customHeight="1">
      <c r="A412" s="40"/>
      <c r="B412" s="40"/>
      <c r="C412" s="40"/>
      <c r="D412" s="40"/>
      <c r="E412" s="40"/>
      <c r="F412" s="40"/>
    </row>
    <row r="413" ht="15.75" customHeight="1">
      <c r="A413" s="40"/>
      <c r="B413" s="40"/>
      <c r="C413" s="40"/>
      <c r="D413" s="40"/>
      <c r="E413" s="40"/>
      <c r="F413" s="40"/>
    </row>
    <row r="414" ht="15.75" customHeight="1">
      <c r="A414" s="40"/>
      <c r="B414" s="40"/>
      <c r="C414" s="40"/>
      <c r="D414" s="40"/>
      <c r="E414" s="40"/>
      <c r="F414" s="40"/>
    </row>
    <row r="415" ht="15.75" customHeight="1">
      <c r="A415" s="40"/>
      <c r="B415" s="40"/>
      <c r="C415" s="40"/>
      <c r="D415" s="40"/>
      <c r="E415" s="40"/>
      <c r="F415" s="40"/>
    </row>
    <row r="416" ht="15.75" customHeight="1">
      <c r="A416" s="40"/>
      <c r="B416" s="40"/>
      <c r="C416" s="40"/>
      <c r="D416" s="40"/>
      <c r="E416" s="40"/>
      <c r="F416" s="40"/>
    </row>
    <row r="417" ht="15.75" customHeight="1">
      <c r="A417" s="40"/>
      <c r="B417" s="40"/>
      <c r="C417" s="40"/>
      <c r="D417" s="40"/>
      <c r="E417" s="40"/>
      <c r="F417" s="40"/>
    </row>
    <row r="418" ht="15.75" customHeight="1">
      <c r="A418" s="40"/>
      <c r="B418" s="40"/>
      <c r="C418" s="40"/>
      <c r="D418" s="40"/>
      <c r="E418" s="40"/>
      <c r="F418" s="40"/>
    </row>
    <row r="419" ht="15.75" customHeight="1">
      <c r="A419" s="40"/>
      <c r="B419" s="40"/>
      <c r="C419" s="40"/>
      <c r="D419" s="40"/>
      <c r="E419" s="40"/>
      <c r="F419" s="40"/>
    </row>
    <row r="420" ht="15.75" customHeight="1">
      <c r="A420" s="40"/>
      <c r="B420" s="40"/>
      <c r="C420" s="40"/>
      <c r="D420" s="40"/>
      <c r="E420" s="40"/>
      <c r="F420" s="40"/>
    </row>
    <row r="421" ht="15.75" customHeight="1">
      <c r="A421" s="40"/>
      <c r="B421" s="40"/>
      <c r="C421" s="40"/>
      <c r="D421" s="40"/>
      <c r="E421" s="40"/>
      <c r="F421" s="40"/>
    </row>
    <row r="422" ht="15.75" customHeight="1">
      <c r="A422" s="40"/>
      <c r="B422" s="40"/>
      <c r="C422" s="40"/>
      <c r="D422" s="40"/>
      <c r="E422" s="40"/>
      <c r="F422" s="40"/>
    </row>
    <row r="423" ht="15.75" customHeight="1">
      <c r="A423" s="40"/>
      <c r="B423" s="40"/>
      <c r="C423" s="40"/>
      <c r="D423" s="40"/>
      <c r="E423" s="40"/>
      <c r="F423" s="40"/>
    </row>
    <row r="424" ht="15.75" customHeight="1">
      <c r="A424" s="40"/>
      <c r="B424" s="40"/>
      <c r="C424" s="40"/>
      <c r="D424" s="40"/>
      <c r="E424" s="40"/>
      <c r="F424" s="40"/>
    </row>
    <row r="425" ht="15.75" customHeight="1">
      <c r="A425" s="40"/>
      <c r="B425" s="40"/>
      <c r="C425" s="40"/>
      <c r="D425" s="40"/>
      <c r="E425" s="40"/>
      <c r="F425" s="40"/>
    </row>
    <row r="426" ht="15.75" customHeight="1">
      <c r="A426" s="40"/>
      <c r="B426" s="40"/>
      <c r="C426" s="40"/>
      <c r="D426" s="40"/>
      <c r="E426" s="40"/>
      <c r="F426" s="40"/>
    </row>
    <row r="427" ht="15.75" customHeight="1">
      <c r="A427" s="40"/>
      <c r="B427" s="40"/>
      <c r="C427" s="40"/>
      <c r="D427" s="40"/>
      <c r="E427" s="40"/>
      <c r="F427" s="40"/>
    </row>
    <row r="428" ht="15.75" customHeight="1">
      <c r="A428" s="40"/>
      <c r="B428" s="40"/>
      <c r="C428" s="40"/>
      <c r="D428" s="40"/>
      <c r="E428" s="40"/>
      <c r="F428" s="40"/>
    </row>
    <row r="429" ht="15.75" customHeight="1">
      <c r="A429" s="40"/>
      <c r="B429" s="40"/>
      <c r="C429" s="40"/>
      <c r="D429" s="40"/>
      <c r="E429" s="40"/>
      <c r="F429" s="40"/>
    </row>
    <row r="430" ht="15.75" customHeight="1">
      <c r="A430" s="40"/>
      <c r="B430" s="40"/>
      <c r="C430" s="40"/>
      <c r="D430" s="40"/>
      <c r="E430" s="40"/>
      <c r="F430" s="40"/>
    </row>
    <row r="431" ht="15.75" customHeight="1">
      <c r="A431" s="40"/>
      <c r="B431" s="40"/>
      <c r="C431" s="40"/>
      <c r="D431" s="40"/>
      <c r="E431" s="40"/>
      <c r="F431" s="40"/>
    </row>
    <row r="432" ht="15.75" customHeight="1">
      <c r="A432" s="40"/>
      <c r="B432" s="40"/>
      <c r="C432" s="40"/>
      <c r="D432" s="40"/>
      <c r="E432" s="40"/>
      <c r="F432" s="40"/>
    </row>
    <row r="433" ht="15.75" customHeight="1">
      <c r="A433" s="40"/>
      <c r="B433" s="40"/>
      <c r="C433" s="40"/>
      <c r="D433" s="40"/>
      <c r="E433" s="40"/>
      <c r="F433" s="40"/>
    </row>
    <row r="434" ht="15.75" customHeight="1">
      <c r="A434" s="40"/>
      <c r="B434" s="40"/>
      <c r="C434" s="40"/>
      <c r="D434" s="40"/>
      <c r="E434" s="40"/>
      <c r="F434" s="40"/>
    </row>
    <row r="435" ht="15.75" customHeight="1">
      <c r="A435" s="40"/>
      <c r="B435" s="40"/>
      <c r="C435" s="40"/>
      <c r="D435" s="40"/>
      <c r="E435" s="40"/>
      <c r="F435" s="40"/>
    </row>
    <row r="436" ht="15.75" customHeight="1">
      <c r="A436" s="40"/>
      <c r="B436" s="40"/>
      <c r="C436" s="40"/>
      <c r="D436" s="40"/>
      <c r="E436" s="40"/>
      <c r="F436" s="40"/>
    </row>
    <row r="437" ht="15.75" customHeight="1">
      <c r="A437" s="40"/>
      <c r="B437" s="40"/>
      <c r="C437" s="40"/>
      <c r="D437" s="40"/>
      <c r="E437" s="40"/>
      <c r="F437" s="40"/>
    </row>
    <row r="438" ht="15.75" customHeight="1">
      <c r="A438" s="40"/>
      <c r="B438" s="40"/>
      <c r="C438" s="40"/>
      <c r="D438" s="40"/>
      <c r="E438" s="40"/>
      <c r="F438" s="40"/>
    </row>
    <row r="439" ht="15.75" customHeight="1">
      <c r="A439" s="40"/>
      <c r="B439" s="40"/>
      <c r="C439" s="40"/>
      <c r="D439" s="40"/>
      <c r="E439" s="40"/>
      <c r="F439" s="40"/>
    </row>
    <row r="440" ht="15.75" customHeight="1">
      <c r="A440" s="40"/>
      <c r="B440" s="40"/>
      <c r="C440" s="40"/>
      <c r="D440" s="40"/>
      <c r="E440" s="40"/>
      <c r="F440" s="40"/>
    </row>
    <row r="441" ht="15.75" customHeight="1">
      <c r="A441" s="40"/>
      <c r="B441" s="40"/>
      <c r="C441" s="40"/>
      <c r="D441" s="40"/>
      <c r="E441" s="40"/>
      <c r="F441" s="40"/>
    </row>
    <row r="442" ht="15.75" customHeight="1">
      <c r="A442" s="40"/>
      <c r="B442" s="40"/>
      <c r="C442" s="40"/>
      <c r="D442" s="40"/>
      <c r="E442" s="40"/>
      <c r="F442" s="40"/>
    </row>
    <row r="443" ht="15.75" customHeight="1">
      <c r="A443" s="40"/>
      <c r="B443" s="40"/>
      <c r="C443" s="40"/>
      <c r="D443" s="40"/>
      <c r="E443" s="40"/>
      <c r="F443" s="40"/>
    </row>
    <row r="444" ht="15.75" customHeight="1">
      <c r="A444" s="40"/>
      <c r="B444" s="40"/>
      <c r="C444" s="40"/>
      <c r="D444" s="40"/>
      <c r="E444" s="40"/>
      <c r="F444" s="40"/>
    </row>
    <row r="445" ht="15.75" customHeight="1">
      <c r="A445" s="40"/>
      <c r="B445" s="40"/>
      <c r="C445" s="40"/>
      <c r="D445" s="40"/>
      <c r="E445" s="40"/>
      <c r="F445" s="40"/>
    </row>
    <row r="446" ht="15.75" customHeight="1">
      <c r="A446" s="40"/>
      <c r="B446" s="40"/>
      <c r="C446" s="40"/>
      <c r="D446" s="40"/>
      <c r="E446" s="40"/>
      <c r="F446" s="40"/>
    </row>
    <row r="447" ht="15.75" customHeight="1">
      <c r="A447" s="40"/>
      <c r="B447" s="40"/>
      <c r="C447" s="40"/>
      <c r="D447" s="40"/>
      <c r="E447" s="40"/>
      <c r="F447" s="40"/>
    </row>
    <row r="448" ht="15.75" customHeight="1">
      <c r="A448" s="40"/>
      <c r="B448" s="40"/>
      <c r="C448" s="40"/>
      <c r="D448" s="40"/>
      <c r="E448" s="40"/>
      <c r="F448" s="40"/>
    </row>
    <row r="449" ht="15.75" customHeight="1">
      <c r="A449" s="40"/>
      <c r="B449" s="40"/>
      <c r="C449" s="40"/>
      <c r="D449" s="40"/>
      <c r="E449" s="40"/>
      <c r="F449" s="40"/>
    </row>
    <row r="450" ht="15.75" customHeight="1">
      <c r="A450" s="40"/>
      <c r="B450" s="40"/>
      <c r="C450" s="40"/>
      <c r="D450" s="40"/>
      <c r="E450" s="40"/>
      <c r="F450" s="40"/>
    </row>
    <row r="451" ht="15.75" customHeight="1">
      <c r="A451" s="40"/>
      <c r="B451" s="40"/>
      <c r="C451" s="40"/>
      <c r="D451" s="40"/>
      <c r="E451" s="40"/>
      <c r="F451" s="40"/>
    </row>
    <row r="452" ht="15.75" customHeight="1">
      <c r="A452" s="40"/>
      <c r="B452" s="40"/>
      <c r="C452" s="40"/>
      <c r="D452" s="40"/>
      <c r="E452" s="40"/>
      <c r="F452" s="40"/>
    </row>
    <row r="453" ht="15.75" customHeight="1">
      <c r="A453" s="40"/>
      <c r="B453" s="40"/>
      <c r="C453" s="40"/>
      <c r="D453" s="40"/>
      <c r="E453" s="40"/>
      <c r="F453" s="40"/>
    </row>
    <row r="454" ht="15.75" customHeight="1">
      <c r="A454" s="40"/>
      <c r="B454" s="40"/>
      <c r="C454" s="40"/>
      <c r="D454" s="40"/>
      <c r="E454" s="40"/>
      <c r="F454" s="40"/>
    </row>
    <row r="455" ht="15.75" customHeight="1">
      <c r="A455" s="40"/>
      <c r="B455" s="40"/>
      <c r="C455" s="40"/>
      <c r="D455" s="40"/>
      <c r="E455" s="40"/>
      <c r="F455" s="40"/>
    </row>
    <row r="456" ht="15.75" customHeight="1">
      <c r="A456" s="40"/>
      <c r="B456" s="40"/>
      <c r="C456" s="40"/>
      <c r="D456" s="40"/>
      <c r="E456" s="40"/>
      <c r="F456" s="40"/>
    </row>
    <row r="457" ht="15.75" customHeight="1">
      <c r="A457" s="40"/>
      <c r="B457" s="40"/>
      <c r="C457" s="40"/>
      <c r="D457" s="40"/>
      <c r="E457" s="40"/>
      <c r="F457" s="40"/>
    </row>
    <row r="458" ht="15.75" customHeight="1">
      <c r="A458" s="40"/>
      <c r="B458" s="40"/>
      <c r="C458" s="40"/>
      <c r="D458" s="40"/>
      <c r="E458" s="40"/>
      <c r="F458" s="40"/>
    </row>
    <row r="459" ht="15.75" customHeight="1">
      <c r="A459" s="40"/>
      <c r="B459" s="40"/>
      <c r="C459" s="40"/>
      <c r="D459" s="40"/>
      <c r="E459" s="40"/>
      <c r="F459" s="40"/>
    </row>
    <row r="460" ht="15.75" customHeight="1">
      <c r="A460" s="40"/>
      <c r="B460" s="40"/>
      <c r="C460" s="40"/>
      <c r="D460" s="40"/>
      <c r="E460" s="40"/>
      <c r="F460" s="40"/>
    </row>
    <row r="461" ht="15.75" customHeight="1">
      <c r="A461" s="40"/>
      <c r="B461" s="40"/>
      <c r="C461" s="40"/>
      <c r="D461" s="40"/>
      <c r="E461" s="40"/>
      <c r="F461" s="40"/>
    </row>
    <row r="462" ht="15.75" customHeight="1">
      <c r="A462" s="40"/>
      <c r="B462" s="40"/>
      <c r="C462" s="40"/>
      <c r="D462" s="40"/>
      <c r="E462" s="40"/>
      <c r="F462" s="40"/>
    </row>
    <row r="463" ht="15.75" customHeight="1">
      <c r="A463" s="40"/>
      <c r="B463" s="40"/>
      <c r="C463" s="40"/>
      <c r="D463" s="40"/>
      <c r="E463" s="40"/>
      <c r="F463" s="40"/>
    </row>
    <row r="464" ht="15.75" customHeight="1">
      <c r="A464" s="40"/>
      <c r="B464" s="40"/>
      <c r="C464" s="40"/>
      <c r="D464" s="40"/>
      <c r="E464" s="40"/>
      <c r="F464" s="40"/>
    </row>
    <row r="465" ht="15.75" customHeight="1">
      <c r="A465" s="40"/>
      <c r="B465" s="40"/>
      <c r="C465" s="40"/>
      <c r="D465" s="40"/>
      <c r="E465" s="40"/>
      <c r="F465" s="40"/>
    </row>
    <row r="466" ht="15.75" customHeight="1">
      <c r="A466" s="40"/>
      <c r="B466" s="40"/>
      <c r="C466" s="40"/>
      <c r="D466" s="40"/>
      <c r="E466" s="40"/>
      <c r="F466" s="40"/>
    </row>
    <row r="467" ht="15.75" customHeight="1">
      <c r="A467" s="40"/>
      <c r="B467" s="40"/>
      <c r="C467" s="40"/>
      <c r="D467" s="40"/>
      <c r="E467" s="40"/>
      <c r="F467" s="40"/>
    </row>
    <row r="468" ht="15.75" customHeight="1">
      <c r="A468" s="40"/>
      <c r="B468" s="40"/>
      <c r="C468" s="40"/>
      <c r="D468" s="40"/>
      <c r="E468" s="40"/>
      <c r="F468" s="40"/>
    </row>
    <row r="469" ht="15.75" customHeight="1">
      <c r="A469" s="40"/>
      <c r="B469" s="40"/>
      <c r="C469" s="40"/>
      <c r="D469" s="40"/>
      <c r="E469" s="40"/>
      <c r="F469" s="40"/>
    </row>
    <row r="470" ht="15.75" customHeight="1">
      <c r="A470" s="40"/>
      <c r="B470" s="40"/>
      <c r="C470" s="40"/>
      <c r="D470" s="40"/>
      <c r="E470" s="40"/>
      <c r="F470" s="40"/>
    </row>
    <row r="471" ht="15.75" customHeight="1">
      <c r="A471" s="40"/>
      <c r="B471" s="40"/>
      <c r="C471" s="40"/>
      <c r="D471" s="40"/>
      <c r="E471" s="40"/>
      <c r="F471" s="40"/>
    </row>
    <row r="472" ht="15.75" customHeight="1">
      <c r="A472" s="40"/>
      <c r="B472" s="40"/>
      <c r="C472" s="40"/>
      <c r="D472" s="40"/>
      <c r="E472" s="40"/>
      <c r="F472" s="40"/>
    </row>
    <row r="473" ht="15.75" customHeight="1">
      <c r="A473" s="40"/>
      <c r="B473" s="40"/>
      <c r="C473" s="40"/>
      <c r="D473" s="40"/>
      <c r="E473" s="40"/>
      <c r="F473" s="40"/>
    </row>
    <row r="474" ht="15.75" customHeight="1">
      <c r="A474" s="40"/>
      <c r="B474" s="40"/>
      <c r="C474" s="40"/>
      <c r="D474" s="40"/>
      <c r="E474" s="40"/>
      <c r="F474" s="40"/>
    </row>
    <row r="475" ht="15.75" customHeight="1">
      <c r="A475" s="40"/>
      <c r="B475" s="40"/>
      <c r="C475" s="40"/>
      <c r="D475" s="40"/>
      <c r="E475" s="40"/>
      <c r="F475" s="40"/>
    </row>
    <row r="476" ht="15.75" customHeight="1">
      <c r="A476" s="40"/>
      <c r="B476" s="40"/>
      <c r="C476" s="40"/>
      <c r="D476" s="40"/>
      <c r="E476" s="40"/>
      <c r="F476" s="40"/>
    </row>
    <row r="477" ht="15.75" customHeight="1">
      <c r="A477" s="40"/>
      <c r="B477" s="40"/>
      <c r="C477" s="40"/>
      <c r="D477" s="40"/>
      <c r="E477" s="40"/>
      <c r="F477" s="40"/>
    </row>
    <row r="478" ht="15.75" customHeight="1">
      <c r="A478" s="40"/>
      <c r="B478" s="40"/>
      <c r="C478" s="40"/>
      <c r="D478" s="40"/>
      <c r="E478" s="40"/>
      <c r="F478" s="40"/>
    </row>
    <row r="479" ht="15.75" customHeight="1">
      <c r="A479" s="40"/>
      <c r="B479" s="40"/>
      <c r="C479" s="40"/>
      <c r="D479" s="40"/>
      <c r="E479" s="40"/>
      <c r="F479" s="40"/>
    </row>
    <row r="480" ht="15.75" customHeight="1">
      <c r="A480" s="40"/>
      <c r="B480" s="40"/>
      <c r="C480" s="40"/>
      <c r="D480" s="40"/>
      <c r="E480" s="40"/>
      <c r="F480" s="40"/>
    </row>
    <row r="481" ht="15.75" customHeight="1">
      <c r="A481" s="40"/>
      <c r="B481" s="40"/>
      <c r="C481" s="40"/>
      <c r="D481" s="40"/>
      <c r="E481" s="40"/>
      <c r="F481" s="40"/>
    </row>
    <row r="482" ht="15.75" customHeight="1">
      <c r="A482" s="40"/>
      <c r="B482" s="40"/>
      <c r="C482" s="40"/>
      <c r="D482" s="40"/>
      <c r="E482" s="40"/>
      <c r="F482" s="40"/>
    </row>
    <row r="483" ht="15.75" customHeight="1">
      <c r="A483" s="40"/>
      <c r="B483" s="40"/>
      <c r="C483" s="40"/>
      <c r="D483" s="40"/>
      <c r="E483" s="40"/>
      <c r="F483" s="40"/>
    </row>
    <row r="484" ht="15.75" customHeight="1">
      <c r="A484" s="40"/>
      <c r="B484" s="40"/>
      <c r="C484" s="40"/>
      <c r="D484" s="40"/>
      <c r="E484" s="40"/>
      <c r="F484" s="40"/>
    </row>
    <row r="485" ht="15.75" customHeight="1">
      <c r="A485" s="40"/>
      <c r="B485" s="40"/>
      <c r="C485" s="40"/>
      <c r="D485" s="40"/>
      <c r="E485" s="40"/>
      <c r="F485" s="40"/>
    </row>
    <row r="486" ht="15.75" customHeight="1">
      <c r="A486" s="40"/>
      <c r="B486" s="40"/>
      <c r="C486" s="40"/>
      <c r="D486" s="40"/>
      <c r="E486" s="40"/>
      <c r="F486" s="40"/>
    </row>
    <row r="487" ht="15.75" customHeight="1">
      <c r="A487" s="40"/>
      <c r="B487" s="40"/>
      <c r="C487" s="40"/>
      <c r="D487" s="40"/>
      <c r="E487" s="40"/>
      <c r="F487" s="40"/>
    </row>
    <row r="488" ht="15.75" customHeight="1">
      <c r="A488" s="40"/>
      <c r="B488" s="40"/>
      <c r="C488" s="40"/>
      <c r="D488" s="40"/>
      <c r="E488" s="40"/>
      <c r="F488" s="40"/>
    </row>
    <row r="489" ht="15.75" customHeight="1">
      <c r="A489" s="40"/>
      <c r="B489" s="40"/>
      <c r="C489" s="40"/>
      <c r="D489" s="40"/>
      <c r="E489" s="40"/>
      <c r="F489" s="40"/>
    </row>
    <row r="490" ht="15.75" customHeight="1">
      <c r="A490" s="40"/>
      <c r="B490" s="40"/>
      <c r="C490" s="40"/>
      <c r="D490" s="40"/>
      <c r="E490" s="40"/>
      <c r="F490" s="40"/>
    </row>
    <row r="491" ht="15.75" customHeight="1">
      <c r="A491" s="40"/>
      <c r="B491" s="40"/>
      <c r="C491" s="40"/>
      <c r="D491" s="40"/>
      <c r="E491" s="40"/>
      <c r="F491" s="40"/>
    </row>
    <row r="492" ht="15.75" customHeight="1">
      <c r="A492" s="40"/>
      <c r="B492" s="40"/>
      <c r="C492" s="40"/>
      <c r="D492" s="40"/>
      <c r="E492" s="40"/>
      <c r="F492" s="40"/>
    </row>
    <row r="493" ht="15.75" customHeight="1">
      <c r="A493" s="40"/>
      <c r="B493" s="40"/>
      <c r="C493" s="40"/>
      <c r="D493" s="40"/>
      <c r="E493" s="40"/>
      <c r="F493" s="40"/>
    </row>
    <row r="494" ht="15.75" customHeight="1">
      <c r="A494" s="40"/>
      <c r="B494" s="40"/>
      <c r="C494" s="40"/>
      <c r="D494" s="40"/>
      <c r="E494" s="40"/>
      <c r="F494" s="40"/>
    </row>
    <row r="495" ht="15.75" customHeight="1">
      <c r="A495" s="40"/>
      <c r="B495" s="40"/>
      <c r="C495" s="40"/>
      <c r="D495" s="40"/>
      <c r="E495" s="40"/>
      <c r="F495" s="40"/>
    </row>
    <row r="496" ht="15.75" customHeight="1">
      <c r="A496" s="40"/>
      <c r="B496" s="40"/>
      <c r="C496" s="40"/>
      <c r="D496" s="40"/>
      <c r="E496" s="40"/>
      <c r="F496" s="40"/>
    </row>
    <row r="497" ht="15.75" customHeight="1">
      <c r="A497" s="40"/>
      <c r="B497" s="40"/>
      <c r="C497" s="40"/>
      <c r="D497" s="40"/>
      <c r="E497" s="40"/>
      <c r="F497" s="40"/>
    </row>
    <row r="498" ht="15.75" customHeight="1">
      <c r="A498" s="40"/>
      <c r="B498" s="40"/>
      <c r="C498" s="40"/>
      <c r="D498" s="40"/>
      <c r="E498" s="40"/>
      <c r="F498" s="40"/>
    </row>
    <row r="499" ht="15.75" customHeight="1">
      <c r="A499" s="40"/>
      <c r="B499" s="40"/>
      <c r="C499" s="40"/>
      <c r="D499" s="40"/>
      <c r="E499" s="40"/>
      <c r="F499" s="40"/>
    </row>
    <row r="500" ht="15.75" customHeight="1">
      <c r="A500" s="40"/>
      <c r="B500" s="40"/>
      <c r="C500" s="40"/>
      <c r="D500" s="40"/>
      <c r="E500" s="40"/>
      <c r="F500" s="40"/>
    </row>
    <row r="501" ht="15.75" customHeight="1">
      <c r="A501" s="40"/>
      <c r="B501" s="40"/>
      <c r="C501" s="40"/>
      <c r="D501" s="40"/>
      <c r="E501" s="40"/>
      <c r="F501" s="40"/>
    </row>
    <row r="502" ht="15.75" customHeight="1">
      <c r="A502" s="40"/>
      <c r="B502" s="40"/>
      <c r="C502" s="40"/>
      <c r="D502" s="40"/>
      <c r="E502" s="40"/>
      <c r="F502" s="40"/>
    </row>
    <row r="503" ht="15.75" customHeight="1">
      <c r="A503" s="40"/>
      <c r="B503" s="40"/>
      <c r="C503" s="40"/>
      <c r="D503" s="40"/>
      <c r="E503" s="40"/>
      <c r="F503" s="40"/>
    </row>
    <row r="504" ht="15.75" customHeight="1">
      <c r="A504" s="40"/>
      <c r="B504" s="40"/>
      <c r="C504" s="40"/>
      <c r="D504" s="40"/>
      <c r="E504" s="40"/>
      <c r="F504" s="40"/>
    </row>
    <row r="505" ht="15.75" customHeight="1">
      <c r="A505" s="40"/>
      <c r="B505" s="40"/>
      <c r="C505" s="40"/>
      <c r="D505" s="40"/>
      <c r="E505" s="40"/>
      <c r="F505" s="40"/>
    </row>
    <row r="506" ht="15.75" customHeight="1">
      <c r="A506" s="40"/>
      <c r="B506" s="40"/>
      <c r="C506" s="40"/>
      <c r="D506" s="40"/>
      <c r="E506" s="40"/>
      <c r="F506" s="40"/>
    </row>
    <row r="507" ht="15.75" customHeight="1">
      <c r="A507" s="40"/>
      <c r="B507" s="40"/>
      <c r="C507" s="40"/>
      <c r="D507" s="40"/>
      <c r="E507" s="40"/>
      <c r="F507" s="40"/>
    </row>
    <row r="508" ht="15.75" customHeight="1">
      <c r="A508" s="40"/>
      <c r="B508" s="40"/>
      <c r="C508" s="40"/>
      <c r="D508" s="40"/>
      <c r="E508" s="40"/>
      <c r="F508" s="40"/>
    </row>
    <row r="509" ht="15.75" customHeight="1">
      <c r="A509" s="40"/>
      <c r="B509" s="40"/>
      <c r="C509" s="40"/>
      <c r="D509" s="40"/>
      <c r="E509" s="40"/>
      <c r="F509" s="40"/>
    </row>
    <row r="510" ht="15.75" customHeight="1">
      <c r="A510" s="40"/>
      <c r="B510" s="40"/>
      <c r="C510" s="40"/>
      <c r="D510" s="40"/>
      <c r="E510" s="40"/>
      <c r="F510" s="40"/>
    </row>
    <row r="511" ht="15.75" customHeight="1">
      <c r="A511" s="40"/>
      <c r="B511" s="40"/>
      <c r="C511" s="40"/>
      <c r="D511" s="40"/>
      <c r="E511" s="40"/>
      <c r="F511" s="40"/>
    </row>
    <row r="512" ht="15.75" customHeight="1">
      <c r="A512" s="40"/>
      <c r="B512" s="40"/>
      <c r="C512" s="40"/>
      <c r="D512" s="40"/>
      <c r="E512" s="40"/>
      <c r="F512" s="40"/>
    </row>
    <row r="513" ht="15.75" customHeight="1">
      <c r="A513" s="40"/>
      <c r="B513" s="40"/>
      <c r="C513" s="40"/>
      <c r="D513" s="40"/>
      <c r="E513" s="40"/>
      <c r="F513" s="40"/>
    </row>
    <row r="514" ht="15.75" customHeight="1">
      <c r="A514" s="40"/>
      <c r="B514" s="40"/>
      <c r="C514" s="40"/>
      <c r="D514" s="40"/>
      <c r="E514" s="40"/>
      <c r="F514" s="40"/>
    </row>
    <row r="515" ht="15.75" customHeight="1">
      <c r="A515" s="40"/>
      <c r="B515" s="40"/>
      <c r="C515" s="40"/>
      <c r="D515" s="40"/>
      <c r="E515" s="40"/>
      <c r="F515" s="40"/>
    </row>
    <row r="516" ht="15.75" customHeight="1">
      <c r="A516" s="40"/>
      <c r="B516" s="40"/>
      <c r="C516" s="40"/>
      <c r="D516" s="40"/>
      <c r="E516" s="40"/>
      <c r="F516" s="40"/>
    </row>
    <row r="517" ht="15.75" customHeight="1">
      <c r="A517" s="40"/>
      <c r="B517" s="40"/>
      <c r="C517" s="40"/>
      <c r="D517" s="40"/>
      <c r="E517" s="40"/>
      <c r="F517" s="40"/>
    </row>
    <row r="518" ht="15.75" customHeight="1">
      <c r="A518" s="40"/>
      <c r="B518" s="40"/>
      <c r="C518" s="40"/>
      <c r="D518" s="40"/>
      <c r="E518" s="40"/>
      <c r="F518" s="40"/>
    </row>
    <row r="519" ht="15.75" customHeight="1">
      <c r="A519" s="40"/>
      <c r="B519" s="40"/>
      <c r="C519" s="40"/>
      <c r="D519" s="40"/>
      <c r="E519" s="40"/>
      <c r="F519" s="40"/>
    </row>
    <row r="520" ht="15.75" customHeight="1">
      <c r="A520" s="40"/>
      <c r="B520" s="40"/>
      <c r="C520" s="40"/>
      <c r="D520" s="40"/>
      <c r="E520" s="40"/>
      <c r="F520" s="40"/>
    </row>
    <row r="521" ht="15.75" customHeight="1">
      <c r="A521" s="40"/>
      <c r="B521" s="40"/>
      <c r="C521" s="40"/>
      <c r="D521" s="40"/>
      <c r="E521" s="40"/>
      <c r="F521" s="40"/>
    </row>
    <row r="522" ht="15.75" customHeight="1">
      <c r="A522" s="40"/>
      <c r="B522" s="40"/>
      <c r="C522" s="40"/>
      <c r="D522" s="40"/>
      <c r="E522" s="40"/>
      <c r="F522" s="40"/>
    </row>
    <row r="523" ht="15.75" customHeight="1">
      <c r="A523" s="40"/>
      <c r="B523" s="40"/>
      <c r="C523" s="40"/>
      <c r="D523" s="40"/>
      <c r="E523" s="40"/>
      <c r="F523" s="40"/>
    </row>
    <row r="524" ht="15.75" customHeight="1">
      <c r="A524" s="40"/>
      <c r="B524" s="40"/>
      <c r="C524" s="40"/>
      <c r="D524" s="40"/>
      <c r="E524" s="40"/>
      <c r="F524" s="40"/>
    </row>
    <row r="525" ht="15.75" customHeight="1">
      <c r="A525" s="40"/>
      <c r="B525" s="40"/>
      <c r="C525" s="40"/>
      <c r="D525" s="40"/>
      <c r="E525" s="40"/>
      <c r="F525" s="40"/>
    </row>
    <row r="526" ht="15.75" customHeight="1">
      <c r="A526" s="40"/>
      <c r="B526" s="40"/>
      <c r="C526" s="40"/>
      <c r="D526" s="40"/>
      <c r="E526" s="40"/>
      <c r="F526" s="40"/>
    </row>
    <row r="527" ht="15.75" customHeight="1">
      <c r="A527" s="40"/>
      <c r="B527" s="40"/>
      <c r="C527" s="40"/>
      <c r="D527" s="40"/>
      <c r="E527" s="40"/>
      <c r="F527" s="40"/>
    </row>
    <row r="528" ht="15.75" customHeight="1">
      <c r="A528" s="40"/>
      <c r="B528" s="40"/>
      <c r="C528" s="40"/>
      <c r="D528" s="40"/>
      <c r="E528" s="40"/>
      <c r="F528" s="40"/>
    </row>
    <row r="529" ht="15.75" customHeight="1">
      <c r="A529" s="40"/>
      <c r="B529" s="40"/>
      <c r="C529" s="40"/>
      <c r="D529" s="40"/>
      <c r="E529" s="40"/>
      <c r="F529" s="40"/>
    </row>
    <row r="530" ht="15.75" customHeight="1">
      <c r="A530" s="40"/>
      <c r="B530" s="40"/>
      <c r="C530" s="40"/>
      <c r="D530" s="40"/>
      <c r="E530" s="40"/>
      <c r="F530" s="40"/>
    </row>
    <row r="531" ht="15.75" customHeight="1">
      <c r="A531" s="40"/>
      <c r="B531" s="40"/>
      <c r="C531" s="40"/>
      <c r="D531" s="40"/>
      <c r="E531" s="40"/>
      <c r="F531" s="40"/>
    </row>
    <row r="532" ht="15.75" customHeight="1">
      <c r="A532" s="40"/>
      <c r="B532" s="40"/>
      <c r="C532" s="40"/>
      <c r="D532" s="40"/>
      <c r="E532" s="40"/>
      <c r="F532" s="40"/>
    </row>
    <row r="533" ht="15.75" customHeight="1">
      <c r="A533" s="40"/>
      <c r="B533" s="40"/>
      <c r="C533" s="40"/>
      <c r="D533" s="40"/>
      <c r="E533" s="40"/>
      <c r="F533" s="40"/>
    </row>
    <row r="534" ht="15.75" customHeight="1">
      <c r="A534" s="40"/>
      <c r="B534" s="40"/>
      <c r="C534" s="40"/>
      <c r="D534" s="40"/>
      <c r="E534" s="40"/>
      <c r="F534" s="40"/>
    </row>
    <row r="535" ht="15.75" customHeight="1">
      <c r="A535" s="40"/>
      <c r="B535" s="40"/>
      <c r="C535" s="40"/>
      <c r="D535" s="40"/>
      <c r="E535" s="40"/>
      <c r="F535" s="40"/>
    </row>
    <row r="536" ht="15.75" customHeight="1">
      <c r="A536" s="40"/>
      <c r="B536" s="40"/>
      <c r="C536" s="40"/>
      <c r="D536" s="40"/>
      <c r="E536" s="40"/>
      <c r="F536" s="40"/>
    </row>
    <row r="537" ht="15.75" customHeight="1">
      <c r="A537" s="40"/>
      <c r="B537" s="40"/>
      <c r="C537" s="40"/>
      <c r="D537" s="40"/>
      <c r="E537" s="40"/>
      <c r="F537" s="40"/>
    </row>
    <row r="538" ht="15.75" customHeight="1">
      <c r="A538" s="40"/>
      <c r="B538" s="40"/>
      <c r="C538" s="40"/>
      <c r="D538" s="40"/>
      <c r="E538" s="40"/>
      <c r="F538" s="40"/>
    </row>
    <row r="539" ht="15.75" customHeight="1">
      <c r="A539" s="40"/>
      <c r="B539" s="40"/>
      <c r="C539" s="40"/>
      <c r="D539" s="40"/>
      <c r="E539" s="40"/>
      <c r="F539" s="40"/>
    </row>
    <row r="540" ht="15.75" customHeight="1">
      <c r="A540" s="40"/>
      <c r="B540" s="40"/>
      <c r="C540" s="40"/>
      <c r="D540" s="40"/>
      <c r="E540" s="40"/>
      <c r="F540" s="40"/>
    </row>
    <row r="541" ht="15.75" customHeight="1">
      <c r="A541" s="40"/>
      <c r="B541" s="40"/>
      <c r="C541" s="40"/>
      <c r="D541" s="40"/>
      <c r="E541" s="40"/>
      <c r="F541" s="40"/>
    </row>
    <row r="542" ht="15.75" customHeight="1">
      <c r="A542" s="40"/>
      <c r="B542" s="40"/>
      <c r="C542" s="40"/>
      <c r="D542" s="40"/>
      <c r="E542" s="40"/>
      <c r="F542" s="40"/>
    </row>
    <row r="543" ht="15.75" customHeight="1">
      <c r="A543" s="40"/>
      <c r="B543" s="40"/>
      <c r="C543" s="40"/>
      <c r="D543" s="40"/>
      <c r="E543" s="40"/>
      <c r="F543" s="40"/>
    </row>
    <row r="544" ht="15.75" customHeight="1">
      <c r="A544" s="40"/>
      <c r="B544" s="40"/>
      <c r="C544" s="40"/>
      <c r="D544" s="40"/>
      <c r="E544" s="40"/>
      <c r="F544" s="40"/>
    </row>
    <row r="545" ht="15.75" customHeight="1">
      <c r="A545" s="40"/>
      <c r="B545" s="40"/>
      <c r="C545" s="40"/>
      <c r="D545" s="40"/>
      <c r="E545" s="40"/>
      <c r="F545" s="40"/>
    </row>
    <row r="546" ht="15.75" customHeight="1">
      <c r="A546" s="40"/>
      <c r="B546" s="40"/>
      <c r="C546" s="40"/>
      <c r="D546" s="40"/>
      <c r="E546" s="40"/>
      <c r="F546" s="40"/>
    </row>
    <row r="547" ht="15.75" customHeight="1">
      <c r="A547" s="40"/>
      <c r="B547" s="40"/>
      <c r="C547" s="40"/>
      <c r="D547" s="40"/>
      <c r="E547" s="40"/>
      <c r="F547" s="40"/>
    </row>
    <row r="548" ht="15.75" customHeight="1">
      <c r="A548" s="40"/>
      <c r="B548" s="40"/>
      <c r="C548" s="40"/>
      <c r="D548" s="40"/>
      <c r="E548" s="40"/>
      <c r="F548" s="40"/>
    </row>
    <row r="549" ht="15.75" customHeight="1">
      <c r="A549" s="40"/>
      <c r="B549" s="40"/>
      <c r="C549" s="40"/>
      <c r="D549" s="40"/>
      <c r="E549" s="40"/>
      <c r="F549" s="40"/>
    </row>
    <row r="550" ht="15.75" customHeight="1">
      <c r="A550" s="40"/>
      <c r="B550" s="40"/>
      <c r="C550" s="40"/>
      <c r="D550" s="40"/>
      <c r="E550" s="40"/>
      <c r="F550" s="40"/>
    </row>
    <row r="551" ht="15.75" customHeight="1">
      <c r="A551" s="40"/>
      <c r="B551" s="40"/>
      <c r="C551" s="40"/>
      <c r="D551" s="40"/>
      <c r="E551" s="40"/>
      <c r="F551" s="40"/>
    </row>
    <row r="552" ht="15.75" customHeight="1">
      <c r="A552" s="40"/>
      <c r="B552" s="40"/>
      <c r="C552" s="40"/>
      <c r="D552" s="40"/>
      <c r="E552" s="40"/>
      <c r="F552" s="40"/>
    </row>
    <row r="553" ht="15.75" customHeight="1">
      <c r="A553" s="40"/>
      <c r="B553" s="40"/>
      <c r="C553" s="40"/>
      <c r="D553" s="40"/>
      <c r="E553" s="40"/>
      <c r="F553" s="40"/>
    </row>
    <row r="554" ht="15.75" customHeight="1">
      <c r="A554" s="40"/>
      <c r="B554" s="40"/>
      <c r="C554" s="40"/>
      <c r="D554" s="40"/>
      <c r="E554" s="40"/>
      <c r="F554" s="40"/>
    </row>
    <row r="555" ht="15.75" customHeight="1">
      <c r="A555" s="40"/>
      <c r="B555" s="40"/>
      <c r="C555" s="40"/>
      <c r="D555" s="40"/>
      <c r="E555" s="40"/>
      <c r="F555" s="40"/>
    </row>
    <row r="556" ht="15.75" customHeight="1">
      <c r="A556" s="40"/>
      <c r="B556" s="40"/>
      <c r="C556" s="40"/>
      <c r="D556" s="40"/>
      <c r="E556" s="40"/>
      <c r="F556" s="40"/>
    </row>
    <row r="557" ht="15.75" customHeight="1">
      <c r="A557" s="40"/>
      <c r="B557" s="40"/>
      <c r="C557" s="40"/>
      <c r="D557" s="40"/>
      <c r="E557" s="40"/>
      <c r="F557" s="40"/>
    </row>
    <row r="558" ht="15.75" customHeight="1">
      <c r="A558" s="40"/>
      <c r="B558" s="40"/>
      <c r="C558" s="40"/>
      <c r="D558" s="40"/>
      <c r="E558" s="40"/>
      <c r="F558" s="40"/>
    </row>
    <row r="559" ht="15.75" customHeight="1">
      <c r="A559" s="40"/>
      <c r="B559" s="40"/>
      <c r="C559" s="40"/>
      <c r="D559" s="40"/>
      <c r="E559" s="40"/>
      <c r="F559" s="40"/>
    </row>
    <row r="560" ht="15.75" customHeight="1">
      <c r="A560" s="40"/>
      <c r="B560" s="40"/>
      <c r="C560" s="40"/>
      <c r="D560" s="40"/>
      <c r="E560" s="40"/>
      <c r="F560" s="40"/>
    </row>
    <row r="561" ht="15.75" customHeight="1">
      <c r="A561" s="40"/>
      <c r="B561" s="40"/>
      <c r="C561" s="40"/>
      <c r="D561" s="40"/>
      <c r="E561" s="40"/>
      <c r="F561" s="40"/>
    </row>
    <row r="562" ht="15.75" customHeight="1">
      <c r="A562" s="40"/>
      <c r="B562" s="40"/>
      <c r="C562" s="40"/>
      <c r="D562" s="40"/>
      <c r="E562" s="40"/>
      <c r="F562" s="40"/>
    </row>
    <row r="563" ht="15.75" customHeight="1">
      <c r="A563" s="40"/>
      <c r="B563" s="40"/>
      <c r="C563" s="40"/>
      <c r="D563" s="40"/>
      <c r="E563" s="40"/>
      <c r="F563" s="40"/>
    </row>
    <row r="564" ht="15.75" customHeight="1">
      <c r="A564" s="40"/>
      <c r="B564" s="40"/>
      <c r="C564" s="40"/>
      <c r="D564" s="40"/>
      <c r="E564" s="40"/>
      <c r="F564" s="40"/>
    </row>
    <row r="565" ht="15.75" customHeight="1">
      <c r="A565" s="40"/>
      <c r="B565" s="40"/>
      <c r="C565" s="40"/>
      <c r="D565" s="40"/>
      <c r="E565" s="40"/>
      <c r="F565" s="40"/>
    </row>
    <row r="566" ht="15.75" customHeight="1">
      <c r="A566" s="40"/>
      <c r="B566" s="40"/>
      <c r="C566" s="40"/>
      <c r="D566" s="40"/>
      <c r="E566" s="40"/>
      <c r="F566" s="40"/>
    </row>
    <row r="567" ht="15.75" customHeight="1">
      <c r="A567" s="40"/>
      <c r="B567" s="40"/>
      <c r="C567" s="40"/>
      <c r="D567" s="40"/>
      <c r="E567" s="40"/>
      <c r="F567" s="40"/>
    </row>
    <row r="568" ht="15.75" customHeight="1">
      <c r="A568" s="40"/>
      <c r="B568" s="40"/>
      <c r="C568" s="40"/>
      <c r="D568" s="40"/>
      <c r="E568" s="40"/>
      <c r="F568" s="40"/>
    </row>
    <row r="569" ht="15.75" customHeight="1">
      <c r="A569" s="40"/>
      <c r="B569" s="40"/>
      <c r="C569" s="40"/>
      <c r="D569" s="40"/>
      <c r="E569" s="40"/>
      <c r="F569" s="40"/>
    </row>
    <row r="570" ht="15.75" customHeight="1">
      <c r="A570" s="40"/>
      <c r="B570" s="40"/>
      <c r="C570" s="40"/>
      <c r="D570" s="40"/>
      <c r="E570" s="40"/>
      <c r="F570" s="40"/>
    </row>
    <row r="571" ht="15.75" customHeight="1">
      <c r="A571" s="40"/>
      <c r="B571" s="40"/>
      <c r="C571" s="40"/>
      <c r="D571" s="40"/>
      <c r="E571" s="40"/>
      <c r="F571" s="40"/>
    </row>
    <row r="572" ht="15.75" customHeight="1">
      <c r="A572" s="40"/>
      <c r="B572" s="40"/>
      <c r="C572" s="40"/>
      <c r="D572" s="40"/>
      <c r="E572" s="40"/>
      <c r="F572" s="40"/>
    </row>
    <row r="573" ht="15.75" customHeight="1">
      <c r="A573" s="40"/>
      <c r="B573" s="40"/>
      <c r="C573" s="40"/>
      <c r="D573" s="40"/>
      <c r="E573" s="40"/>
      <c r="F573" s="40"/>
    </row>
    <row r="574" ht="15.75" customHeight="1">
      <c r="A574" s="40"/>
      <c r="B574" s="40"/>
      <c r="C574" s="40"/>
      <c r="D574" s="40"/>
      <c r="E574" s="40"/>
      <c r="F574" s="40"/>
    </row>
    <row r="575" ht="15.75" customHeight="1">
      <c r="A575" s="40"/>
      <c r="B575" s="40"/>
      <c r="C575" s="40"/>
      <c r="D575" s="40"/>
      <c r="E575" s="40"/>
      <c r="F575" s="40"/>
    </row>
    <row r="576" ht="15.75" customHeight="1">
      <c r="A576" s="40"/>
      <c r="B576" s="40"/>
      <c r="C576" s="40"/>
      <c r="D576" s="40"/>
      <c r="E576" s="40"/>
      <c r="F576" s="40"/>
    </row>
    <row r="577" ht="15.75" customHeight="1">
      <c r="A577" s="40"/>
      <c r="B577" s="40"/>
      <c r="C577" s="40"/>
      <c r="D577" s="40"/>
      <c r="E577" s="40"/>
      <c r="F577" s="40"/>
    </row>
    <row r="578" ht="15.75" customHeight="1">
      <c r="A578" s="40"/>
      <c r="B578" s="40"/>
      <c r="C578" s="40"/>
      <c r="D578" s="40"/>
      <c r="E578" s="40"/>
      <c r="F578" s="40"/>
    </row>
    <row r="579" ht="15.75" customHeight="1">
      <c r="A579" s="40"/>
      <c r="B579" s="40"/>
      <c r="C579" s="40"/>
      <c r="D579" s="40"/>
      <c r="E579" s="40"/>
      <c r="F579" s="40"/>
    </row>
    <row r="580" ht="15.75" customHeight="1">
      <c r="A580" s="40"/>
      <c r="B580" s="40"/>
      <c r="C580" s="40"/>
      <c r="D580" s="40"/>
      <c r="E580" s="40"/>
      <c r="F580" s="40"/>
    </row>
    <row r="581" ht="15.75" customHeight="1">
      <c r="A581" s="40"/>
      <c r="B581" s="40"/>
      <c r="C581" s="40"/>
      <c r="D581" s="40"/>
      <c r="E581" s="40"/>
      <c r="F581" s="40"/>
    </row>
    <row r="582" ht="15.75" customHeight="1">
      <c r="A582" s="40"/>
      <c r="B582" s="40"/>
      <c r="C582" s="40"/>
      <c r="D582" s="40"/>
      <c r="E582" s="40"/>
      <c r="F582" s="40"/>
    </row>
    <row r="583" ht="15.75" customHeight="1">
      <c r="A583" s="40"/>
      <c r="B583" s="40"/>
      <c r="C583" s="40"/>
      <c r="D583" s="40"/>
      <c r="E583" s="40"/>
      <c r="F583" s="40"/>
    </row>
    <row r="584" ht="15.75" customHeight="1">
      <c r="A584" s="40"/>
      <c r="B584" s="40"/>
      <c r="C584" s="40"/>
      <c r="D584" s="40"/>
      <c r="E584" s="40"/>
      <c r="F584" s="40"/>
    </row>
    <row r="585" ht="15.75" customHeight="1">
      <c r="A585" s="40"/>
      <c r="B585" s="40"/>
      <c r="C585" s="40"/>
      <c r="D585" s="40"/>
      <c r="E585" s="40"/>
      <c r="F585" s="40"/>
    </row>
    <row r="586" ht="15.75" customHeight="1">
      <c r="A586" s="40"/>
      <c r="B586" s="40"/>
      <c r="C586" s="40"/>
      <c r="D586" s="40"/>
      <c r="E586" s="40"/>
      <c r="F586" s="40"/>
    </row>
    <row r="587" ht="15.75" customHeight="1">
      <c r="A587" s="40"/>
      <c r="B587" s="40"/>
      <c r="C587" s="40"/>
      <c r="D587" s="40"/>
      <c r="E587" s="40"/>
      <c r="F587" s="40"/>
    </row>
    <row r="588" ht="15.75" customHeight="1">
      <c r="A588" s="40"/>
      <c r="B588" s="40"/>
      <c r="C588" s="40"/>
      <c r="D588" s="40"/>
      <c r="E588" s="40"/>
      <c r="F588" s="40"/>
    </row>
    <row r="589" ht="15.75" customHeight="1">
      <c r="A589" s="40"/>
      <c r="B589" s="40"/>
      <c r="C589" s="40"/>
      <c r="D589" s="40"/>
      <c r="E589" s="40"/>
      <c r="F589" s="40"/>
    </row>
    <row r="590" ht="15.75" customHeight="1">
      <c r="A590" s="40"/>
      <c r="B590" s="40"/>
      <c r="C590" s="40"/>
      <c r="D590" s="40"/>
      <c r="E590" s="40"/>
      <c r="F590" s="40"/>
    </row>
    <row r="591" ht="15.75" customHeight="1">
      <c r="A591" s="40"/>
      <c r="B591" s="40"/>
      <c r="C591" s="40"/>
      <c r="D591" s="40"/>
      <c r="E591" s="40"/>
      <c r="F591" s="40"/>
    </row>
    <row r="592" ht="15.75" customHeight="1">
      <c r="A592" s="40"/>
      <c r="B592" s="40"/>
      <c r="C592" s="40"/>
      <c r="D592" s="40"/>
      <c r="E592" s="40"/>
      <c r="F592" s="40"/>
    </row>
    <row r="593" ht="15.75" customHeight="1">
      <c r="A593" s="40"/>
      <c r="B593" s="40"/>
      <c r="C593" s="40"/>
      <c r="D593" s="40"/>
      <c r="E593" s="40"/>
      <c r="F593" s="40"/>
    </row>
    <row r="594" ht="15.75" customHeight="1">
      <c r="A594" s="40"/>
      <c r="B594" s="40"/>
      <c r="C594" s="40"/>
      <c r="D594" s="40"/>
      <c r="E594" s="40"/>
      <c r="F594" s="40"/>
    </row>
    <row r="595" ht="15.75" customHeight="1">
      <c r="A595" s="40"/>
      <c r="B595" s="40"/>
      <c r="C595" s="40"/>
      <c r="D595" s="40"/>
      <c r="E595" s="40"/>
      <c r="F595" s="40"/>
    </row>
    <row r="596" ht="15.75" customHeight="1">
      <c r="A596" s="40"/>
      <c r="B596" s="40"/>
      <c r="C596" s="40"/>
      <c r="D596" s="40"/>
      <c r="E596" s="40"/>
      <c r="F596" s="40"/>
    </row>
    <row r="597" ht="15.75" customHeight="1">
      <c r="A597" s="40"/>
      <c r="B597" s="40"/>
      <c r="C597" s="40"/>
      <c r="D597" s="40"/>
      <c r="E597" s="40"/>
      <c r="F597" s="40"/>
    </row>
    <row r="598" ht="15.75" customHeight="1">
      <c r="A598" s="40"/>
      <c r="B598" s="40"/>
      <c r="C598" s="40"/>
      <c r="D598" s="40"/>
      <c r="E598" s="40"/>
      <c r="F598" s="40"/>
    </row>
    <row r="599" ht="15.75" customHeight="1">
      <c r="A599" s="40"/>
      <c r="B599" s="40"/>
      <c r="C599" s="40"/>
      <c r="D599" s="40"/>
      <c r="E599" s="40"/>
      <c r="F599" s="40"/>
    </row>
    <row r="600" ht="15.75" customHeight="1">
      <c r="A600" s="40"/>
      <c r="B600" s="40"/>
      <c r="C600" s="40"/>
      <c r="D600" s="40"/>
      <c r="E600" s="40"/>
      <c r="F600" s="40"/>
    </row>
    <row r="601" ht="15.75" customHeight="1">
      <c r="A601" s="40"/>
      <c r="B601" s="40"/>
      <c r="C601" s="40"/>
      <c r="D601" s="40"/>
      <c r="E601" s="40"/>
      <c r="F601" s="40"/>
    </row>
    <row r="602" ht="15.75" customHeight="1">
      <c r="A602" s="40"/>
      <c r="B602" s="40"/>
      <c r="C602" s="40"/>
      <c r="D602" s="40"/>
      <c r="E602" s="40"/>
      <c r="F602" s="40"/>
    </row>
    <row r="603" ht="15.75" customHeight="1">
      <c r="A603" s="40"/>
      <c r="B603" s="40"/>
      <c r="C603" s="40"/>
      <c r="D603" s="40"/>
      <c r="E603" s="40"/>
      <c r="F603" s="40"/>
    </row>
    <row r="604" ht="15.75" customHeight="1">
      <c r="A604" s="40"/>
      <c r="B604" s="40"/>
      <c r="C604" s="40"/>
      <c r="D604" s="40"/>
      <c r="E604" s="40"/>
      <c r="F604" s="40"/>
    </row>
    <row r="605" ht="15.75" customHeight="1">
      <c r="A605" s="40"/>
      <c r="B605" s="40"/>
      <c r="C605" s="40"/>
      <c r="D605" s="40"/>
      <c r="E605" s="40"/>
      <c r="F605" s="40"/>
    </row>
    <row r="606" ht="15.75" customHeight="1">
      <c r="A606" s="40"/>
      <c r="B606" s="40"/>
      <c r="C606" s="40"/>
      <c r="D606" s="40"/>
      <c r="E606" s="40"/>
      <c r="F606" s="40"/>
    </row>
    <row r="607" ht="15.75" customHeight="1">
      <c r="A607" s="40"/>
      <c r="B607" s="40"/>
      <c r="C607" s="40"/>
      <c r="D607" s="40"/>
      <c r="E607" s="40"/>
      <c r="F607" s="40"/>
    </row>
    <row r="608" ht="15.75" customHeight="1">
      <c r="A608" s="40"/>
      <c r="B608" s="40"/>
      <c r="C608" s="40"/>
      <c r="D608" s="40"/>
      <c r="E608" s="40"/>
      <c r="F608" s="40"/>
    </row>
    <row r="609" ht="15.75" customHeight="1">
      <c r="A609" s="40"/>
      <c r="B609" s="40"/>
      <c r="C609" s="40"/>
      <c r="D609" s="40"/>
      <c r="E609" s="40"/>
      <c r="F609" s="40"/>
    </row>
    <row r="610" ht="15.75" customHeight="1">
      <c r="A610" s="40"/>
      <c r="B610" s="40"/>
      <c r="C610" s="40"/>
      <c r="D610" s="40"/>
      <c r="E610" s="40"/>
      <c r="F610" s="40"/>
    </row>
    <row r="611" ht="15.75" customHeight="1">
      <c r="A611" s="40"/>
      <c r="B611" s="40"/>
      <c r="C611" s="40"/>
      <c r="D611" s="40"/>
      <c r="E611" s="40"/>
      <c r="F611" s="40"/>
    </row>
    <row r="612" ht="15.75" customHeight="1">
      <c r="A612" s="40"/>
      <c r="B612" s="40"/>
      <c r="C612" s="40"/>
      <c r="D612" s="40"/>
      <c r="E612" s="40"/>
      <c r="F612" s="40"/>
    </row>
    <row r="613" ht="15.75" customHeight="1">
      <c r="A613" s="40"/>
      <c r="B613" s="40"/>
      <c r="C613" s="40"/>
      <c r="D613" s="40"/>
      <c r="E613" s="40"/>
      <c r="F613" s="40"/>
    </row>
    <row r="614" ht="15.75" customHeight="1">
      <c r="A614" s="40"/>
      <c r="B614" s="40"/>
      <c r="C614" s="40"/>
      <c r="D614" s="40"/>
      <c r="E614" s="40"/>
      <c r="F614" s="40"/>
    </row>
    <row r="615" ht="15.75" customHeight="1">
      <c r="A615" s="40"/>
      <c r="B615" s="40"/>
      <c r="C615" s="40"/>
      <c r="D615" s="40"/>
      <c r="E615" s="40"/>
      <c r="F615" s="40"/>
    </row>
    <row r="616" ht="15.75" customHeight="1">
      <c r="A616" s="40"/>
      <c r="B616" s="40"/>
      <c r="C616" s="40"/>
      <c r="D616" s="40"/>
      <c r="E616" s="40"/>
      <c r="F616" s="40"/>
    </row>
    <row r="617" ht="15.75" customHeight="1">
      <c r="A617" s="40"/>
      <c r="B617" s="40"/>
      <c r="C617" s="40"/>
      <c r="D617" s="40"/>
      <c r="E617" s="40"/>
      <c r="F617" s="40"/>
    </row>
    <row r="618" ht="15.75" customHeight="1">
      <c r="A618" s="40"/>
      <c r="B618" s="40"/>
      <c r="C618" s="40"/>
      <c r="D618" s="40"/>
      <c r="E618" s="40"/>
      <c r="F618" s="40"/>
    </row>
    <row r="619" ht="15.75" customHeight="1">
      <c r="A619" s="40"/>
      <c r="B619" s="40"/>
      <c r="C619" s="40"/>
      <c r="D619" s="40"/>
      <c r="E619" s="40"/>
      <c r="F619" s="40"/>
    </row>
    <row r="620" ht="15.75" customHeight="1">
      <c r="A620" s="40"/>
      <c r="B620" s="40"/>
      <c r="C620" s="40"/>
      <c r="D620" s="40"/>
      <c r="E620" s="40"/>
      <c r="F620" s="40"/>
    </row>
    <row r="621" ht="15.75" customHeight="1">
      <c r="A621" s="40"/>
      <c r="B621" s="40"/>
      <c r="C621" s="40"/>
      <c r="D621" s="40"/>
      <c r="E621" s="40"/>
      <c r="F621" s="40"/>
    </row>
    <row r="622" ht="15.75" customHeight="1">
      <c r="A622" s="40"/>
      <c r="B622" s="40"/>
      <c r="C622" s="40"/>
      <c r="D622" s="40"/>
      <c r="E622" s="40"/>
      <c r="F622" s="40"/>
    </row>
    <row r="623" ht="15.75" customHeight="1">
      <c r="A623" s="40"/>
      <c r="B623" s="40"/>
      <c r="C623" s="40"/>
      <c r="D623" s="40"/>
      <c r="E623" s="40"/>
      <c r="F623" s="40"/>
    </row>
    <row r="624" ht="15.75" customHeight="1">
      <c r="A624" s="40"/>
      <c r="B624" s="40"/>
      <c r="C624" s="40"/>
      <c r="D624" s="40"/>
      <c r="E624" s="40"/>
      <c r="F624" s="40"/>
    </row>
    <row r="625" ht="15.75" customHeight="1">
      <c r="A625" s="40"/>
      <c r="B625" s="40"/>
      <c r="C625" s="40"/>
      <c r="D625" s="40"/>
      <c r="E625" s="40"/>
      <c r="F625" s="40"/>
    </row>
    <row r="626" ht="15.75" customHeight="1">
      <c r="A626" s="40"/>
      <c r="B626" s="40"/>
      <c r="C626" s="40"/>
      <c r="D626" s="40"/>
      <c r="E626" s="40"/>
      <c r="F626" s="40"/>
    </row>
    <row r="627" ht="15.75" customHeight="1">
      <c r="A627" s="40"/>
      <c r="B627" s="40"/>
      <c r="C627" s="40"/>
      <c r="D627" s="40"/>
      <c r="E627" s="40"/>
      <c r="F627" s="40"/>
    </row>
    <row r="628" ht="15.75" customHeight="1">
      <c r="A628" s="40"/>
      <c r="B628" s="40"/>
      <c r="C628" s="40"/>
      <c r="D628" s="40"/>
      <c r="E628" s="40"/>
      <c r="F628" s="40"/>
    </row>
    <row r="629" ht="15.75" customHeight="1">
      <c r="A629" s="40"/>
      <c r="B629" s="40"/>
      <c r="C629" s="40"/>
      <c r="D629" s="40"/>
      <c r="E629" s="40"/>
      <c r="F629" s="40"/>
    </row>
    <row r="630" ht="15.75" customHeight="1">
      <c r="A630" s="40"/>
      <c r="B630" s="40"/>
      <c r="C630" s="40"/>
      <c r="D630" s="40"/>
      <c r="E630" s="40"/>
      <c r="F630" s="40"/>
    </row>
    <row r="631" ht="15.75" customHeight="1">
      <c r="A631" s="40"/>
      <c r="B631" s="40"/>
      <c r="C631" s="40"/>
      <c r="D631" s="40"/>
      <c r="E631" s="40"/>
      <c r="F631" s="40"/>
    </row>
    <row r="632" ht="15.75" customHeight="1">
      <c r="A632" s="40"/>
      <c r="B632" s="40"/>
      <c r="C632" s="40"/>
      <c r="D632" s="40"/>
      <c r="E632" s="40"/>
      <c r="F632" s="40"/>
    </row>
    <row r="633" ht="15.75" customHeight="1">
      <c r="A633" s="40"/>
      <c r="B633" s="40"/>
      <c r="C633" s="40"/>
      <c r="D633" s="40"/>
      <c r="E633" s="40"/>
      <c r="F633" s="40"/>
    </row>
    <row r="634" ht="15.75" customHeight="1">
      <c r="A634" s="40"/>
      <c r="B634" s="40"/>
      <c r="C634" s="40"/>
      <c r="D634" s="40"/>
      <c r="E634" s="40"/>
      <c r="F634" s="40"/>
    </row>
    <row r="635" ht="15.75" customHeight="1">
      <c r="A635" s="40"/>
      <c r="B635" s="40"/>
      <c r="C635" s="40"/>
      <c r="D635" s="40"/>
      <c r="E635" s="40"/>
      <c r="F635" s="40"/>
    </row>
    <row r="636" ht="15.75" customHeight="1">
      <c r="A636" s="40"/>
      <c r="B636" s="40"/>
      <c r="C636" s="40"/>
      <c r="D636" s="40"/>
      <c r="E636" s="40"/>
      <c r="F636" s="40"/>
    </row>
    <row r="637" ht="15.75" customHeight="1">
      <c r="A637" s="40"/>
      <c r="B637" s="40"/>
      <c r="C637" s="40"/>
      <c r="D637" s="40"/>
      <c r="E637" s="40"/>
      <c r="F637" s="40"/>
    </row>
    <row r="638" ht="15.75" customHeight="1">
      <c r="A638" s="40"/>
      <c r="B638" s="40"/>
      <c r="C638" s="40"/>
      <c r="D638" s="40"/>
      <c r="E638" s="40"/>
      <c r="F638" s="40"/>
    </row>
    <row r="639" ht="15.75" customHeight="1">
      <c r="A639" s="40"/>
      <c r="B639" s="40"/>
      <c r="C639" s="40"/>
      <c r="D639" s="40"/>
      <c r="E639" s="40"/>
      <c r="F639" s="40"/>
    </row>
    <row r="640" ht="15.75" customHeight="1">
      <c r="A640" s="40"/>
      <c r="B640" s="40"/>
      <c r="C640" s="40"/>
      <c r="D640" s="40"/>
      <c r="E640" s="40"/>
      <c r="F640" s="40"/>
    </row>
    <row r="641" ht="15.75" customHeight="1">
      <c r="A641" s="40"/>
      <c r="B641" s="40"/>
      <c r="C641" s="40"/>
      <c r="D641" s="40"/>
      <c r="E641" s="40"/>
      <c r="F641" s="40"/>
    </row>
    <row r="642" ht="15.75" customHeight="1">
      <c r="A642" s="40"/>
      <c r="B642" s="40"/>
      <c r="C642" s="40"/>
      <c r="D642" s="40"/>
      <c r="E642" s="40"/>
      <c r="F642" s="40"/>
    </row>
    <row r="643" ht="15.75" customHeight="1">
      <c r="A643" s="40"/>
      <c r="B643" s="40"/>
      <c r="C643" s="40"/>
      <c r="D643" s="40"/>
      <c r="E643" s="40"/>
      <c r="F643" s="40"/>
    </row>
    <row r="644" ht="15.75" customHeight="1">
      <c r="A644" s="40"/>
      <c r="B644" s="40"/>
      <c r="C644" s="40"/>
      <c r="D644" s="40"/>
      <c r="E644" s="40"/>
      <c r="F644" s="40"/>
    </row>
    <row r="645" ht="15.75" customHeight="1">
      <c r="A645" s="40"/>
      <c r="B645" s="40"/>
      <c r="C645" s="40"/>
      <c r="D645" s="40"/>
      <c r="E645" s="40"/>
      <c r="F645" s="40"/>
    </row>
    <row r="646" ht="15.75" customHeight="1">
      <c r="A646" s="40"/>
      <c r="B646" s="40"/>
      <c r="C646" s="40"/>
      <c r="D646" s="40"/>
      <c r="E646" s="40"/>
      <c r="F646" s="40"/>
    </row>
    <row r="647" ht="15.75" customHeight="1">
      <c r="A647" s="40"/>
      <c r="B647" s="40"/>
      <c r="C647" s="40"/>
      <c r="D647" s="40"/>
      <c r="E647" s="40"/>
      <c r="F647" s="40"/>
    </row>
    <row r="648" ht="15.75" customHeight="1">
      <c r="A648" s="40"/>
      <c r="B648" s="40"/>
      <c r="C648" s="40"/>
      <c r="D648" s="40"/>
      <c r="E648" s="40"/>
      <c r="F648" s="40"/>
    </row>
    <row r="649" ht="15.75" customHeight="1">
      <c r="A649" s="40"/>
      <c r="B649" s="40"/>
      <c r="C649" s="40"/>
      <c r="D649" s="40"/>
      <c r="E649" s="40"/>
      <c r="F649" s="40"/>
    </row>
    <row r="650" ht="15.75" customHeight="1">
      <c r="A650" s="40"/>
      <c r="B650" s="40"/>
      <c r="C650" s="40"/>
      <c r="D650" s="40"/>
      <c r="E650" s="40"/>
      <c r="F650" s="40"/>
    </row>
    <row r="651" ht="15.75" customHeight="1">
      <c r="A651" s="40"/>
      <c r="B651" s="40"/>
      <c r="C651" s="40"/>
      <c r="D651" s="40"/>
      <c r="E651" s="40"/>
      <c r="F651" s="40"/>
    </row>
    <row r="652" ht="15.75" customHeight="1">
      <c r="A652" s="40"/>
      <c r="B652" s="40"/>
      <c r="C652" s="40"/>
      <c r="D652" s="40"/>
      <c r="E652" s="40"/>
      <c r="F652" s="40"/>
    </row>
    <row r="653" ht="15.75" customHeight="1">
      <c r="A653" s="40"/>
      <c r="B653" s="40"/>
      <c r="C653" s="40"/>
      <c r="D653" s="40"/>
      <c r="E653" s="40"/>
      <c r="F653" s="40"/>
    </row>
    <row r="654" ht="15.75" customHeight="1">
      <c r="A654" s="40"/>
      <c r="B654" s="40"/>
      <c r="C654" s="40"/>
      <c r="D654" s="40"/>
      <c r="E654" s="40"/>
      <c r="F654" s="40"/>
    </row>
    <row r="655" ht="15.75" customHeight="1">
      <c r="A655" s="40"/>
      <c r="B655" s="40"/>
      <c r="C655" s="40"/>
      <c r="D655" s="40"/>
      <c r="E655" s="40"/>
      <c r="F655" s="40"/>
    </row>
    <row r="656" ht="15.75" customHeight="1">
      <c r="A656" s="40"/>
      <c r="B656" s="40"/>
      <c r="C656" s="40"/>
      <c r="D656" s="40"/>
      <c r="E656" s="40"/>
      <c r="F656" s="40"/>
    </row>
    <row r="657" ht="15.75" customHeight="1">
      <c r="A657" s="40"/>
      <c r="B657" s="40"/>
      <c r="C657" s="40"/>
      <c r="D657" s="40"/>
      <c r="E657" s="40"/>
      <c r="F657" s="40"/>
    </row>
    <row r="658" ht="15.75" customHeight="1">
      <c r="A658" s="40"/>
      <c r="B658" s="40"/>
      <c r="C658" s="40"/>
      <c r="D658" s="40"/>
      <c r="E658" s="40"/>
      <c r="F658" s="40"/>
    </row>
    <row r="659" ht="15.75" customHeight="1">
      <c r="A659" s="40"/>
      <c r="B659" s="40"/>
      <c r="C659" s="40"/>
      <c r="D659" s="40"/>
      <c r="E659" s="40"/>
      <c r="F659" s="40"/>
    </row>
    <row r="660" ht="15.75" customHeight="1">
      <c r="A660" s="40"/>
      <c r="B660" s="40"/>
      <c r="C660" s="40"/>
      <c r="D660" s="40"/>
      <c r="E660" s="40"/>
      <c r="F660" s="40"/>
    </row>
    <row r="661" ht="15.75" customHeight="1">
      <c r="A661" s="40"/>
      <c r="B661" s="40"/>
      <c r="C661" s="40"/>
      <c r="D661" s="40"/>
      <c r="E661" s="40"/>
      <c r="F661" s="40"/>
    </row>
    <row r="662" ht="15.75" customHeight="1">
      <c r="A662" s="40"/>
      <c r="B662" s="40"/>
      <c r="C662" s="40"/>
      <c r="D662" s="40"/>
      <c r="E662" s="40"/>
      <c r="F662" s="40"/>
    </row>
    <row r="663" ht="15.75" customHeight="1">
      <c r="A663" s="40"/>
      <c r="B663" s="40"/>
      <c r="C663" s="40"/>
      <c r="D663" s="40"/>
      <c r="E663" s="40"/>
      <c r="F663" s="40"/>
    </row>
    <row r="664" ht="15.75" customHeight="1">
      <c r="A664" s="40"/>
      <c r="B664" s="40"/>
      <c r="C664" s="40"/>
      <c r="D664" s="40"/>
      <c r="E664" s="40"/>
      <c r="F664" s="40"/>
    </row>
    <row r="665" ht="15.75" customHeight="1">
      <c r="A665" s="40"/>
      <c r="B665" s="40"/>
      <c r="C665" s="40"/>
      <c r="D665" s="40"/>
      <c r="E665" s="40"/>
      <c r="F665" s="40"/>
    </row>
    <row r="666" ht="15.75" customHeight="1">
      <c r="A666" s="40"/>
      <c r="B666" s="40"/>
      <c r="C666" s="40"/>
      <c r="D666" s="40"/>
      <c r="E666" s="40"/>
      <c r="F666" s="40"/>
    </row>
    <row r="667" ht="15.75" customHeight="1">
      <c r="A667" s="40"/>
      <c r="B667" s="40"/>
      <c r="C667" s="40"/>
      <c r="D667" s="40"/>
      <c r="E667" s="40"/>
      <c r="F667" s="40"/>
    </row>
    <row r="668" ht="15.75" customHeight="1">
      <c r="A668" s="40"/>
      <c r="B668" s="40"/>
      <c r="C668" s="40"/>
      <c r="D668" s="40"/>
      <c r="E668" s="40"/>
      <c r="F668" s="40"/>
    </row>
    <row r="669" ht="15.75" customHeight="1">
      <c r="A669" s="40"/>
      <c r="B669" s="40"/>
      <c r="C669" s="40"/>
      <c r="D669" s="40"/>
      <c r="E669" s="40"/>
      <c r="F669" s="40"/>
    </row>
    <row r="670" ht="15.75" customHeight="1">
      <c r="A670" s="40"/>
      <c r="B670" s="40"/>
      <c r="C670" s="40"/>
      <c r="D670" s="40"/>
      <c r="E670" s="40"/>
      <c r="F670" s="40"/>
    </row>
    <row r="671" ht="15.75" customHeight="1">
      <c r="A671" s="40"/>
      <c r="B671" s="40"/>
      <c r="C671" s="40"/>
      <c r="D671" s="40"/>
      <c r="E671" s="40"/>
      <c r="F671" s="40"/>
    </row>
    <row r="672" ht="15.75" customHeight="1">
      <c r="A672" s="40"/>
      <c r="B672" s="40"/>
      <c r="C672" s="40"/>
      <c r="D672" s="40"/>
      <c r="E672" s="40"/>
      <c r="F672" s="40"/>
    </row>
    <row r="673" ht="15.75" customHeight="1">
      <c r="A673" s="40"/>
      <c r="B673" s="40"/>
      <c r="C673" s="40"/>
      <c r="D673" s="40"/>
      <c r="E673" s="40"/>
      <c r="F673" s="40"/>
    </row>
    <row r="674" ht="15.75" customHeight="1">
      <c r="A674" s="40"/>
      <c r="B674" s="40"/>
      <c r="C674" s="40"/>
      <c r="D674" s="40"/>
      <c r="E674" s="40"/>
      <c r="F674" s="40"/>
    </row>
    <row r="675" ht="15.75" customHeight="1">
      <c r="A675" s="40"/>
      <c r="B675" s="40"/>
      <c r="C675" s="40"/>
      <c r="D675" s="40"/>
      <c r="E675" s="40"/>
      <c r="F675" s="40"/>
    </row>
    <row r="676" ht="15.75" customHeight="1">
      <c r="A676" s="40"/>
      <c r="B676" s="40"/>
      <c r="C676" s="40"/>
      <c r="D676" s="40"/>
      <c r="E676" s="40"/>
      <c r="F676" s="40"/>
    </row>
    <row r="677" ht="15.75" customHeight="1">
      <c r="A677" s="40"/>
      <c r="B677" s="40"/>
      <c r="C677" s="40"/>
      <c r="D677" s="40"/>
      <c r="E677" s="40"/>
      <c r="F677" s="40"/>
    </row>
    <row r="678" ht="15.75" customHeight="1">
      <c r="A678" s="40"/>
      <c r="B678" s="40"/>
      <c r="C678" s="40"/>
      <c r="D678" s="40"/>
      <c r="E678" s="40"/>
      <c r="F678" s="40"/>
    </row>
    <row r="679" ht="15.75" customHeight="1">
      <c r="A679" s="40"/>
      <c r="B679" s="40"/>
      <c r="C679" s="40"/>
      <c r="D679" s="40"/>
      <c r="E679" s="40"/>
      <c r="F679" s="40"/>
    </row>
    <row r="680" ht="15.75" customHeight="1">
      <c r="A680" s="40"/>
      <c r="B680" s="40"/>
      <c r="C680" s="40"/>
      <c r="D680" s="40"/>
      <c r="E680" s="40"/>
      <c r="F680" s="40"/>
    </row>
    <row r="681" ht="15.75" customHeight="1">
      <c r="A681" s="40"/>
      <c r="B681" s="40"/>
      <c r="C681" s="40"/>
      <c r="D681" s="40"/>
      <c r="E681" s="40"/>
      <c r="F681" s="40"/>
    </row>
    <row r="682" ht="15.75" customHeight="1">
      <c r="A682" s="40"/>
      <c r="B682" s="40"/>
      <c r="C682" s="40"/>
      <c r="D682" s="40"/>
      <c r="E682" s="40"/>
      <c r="F682" s="40"/>
    </row>
    <row r="683" ht="15.75" customHeight="1">
      <c r="A683" s="40"/>
      <c r="B683" s="40"/>
      <c r="C683" s="40"/>
      <c r="D683" s="40"/>
      <c r="E683" s="40"/>
      <c r="F683" s="40"/>
    </row>
    <row r="684" ht="15.75" customHeight="1">
      <c r="A684" s="40"/>
      <c r="B684" s="40"/>
      <c r="C684" s="40"/>
      <c r="D684" s="40"/>
      <c r="E684" s="40"/>
      <c r="F684" s="40"/>
    </row>
    <row r="685" ht="15.75" customHeight="1">
      <c r="A685" s="40"/>
      <c r="B685" s="40"/>
      <c r="C685" s="40"/>
      <c r="D685" s="40"/>
      <c r="E685" s="40"/>
      <c r="F685" s="40"/>
    </row>
    <row r="686" ht="15.75" customHeight="1">
      <c r="A686" s="40"/>
      <c r="B686" s="40"/>
      <c r="C686" s="40"/>
      <c r="D686" s="40"/>
      <c r="E686" s="40"/>
      <c r="F686" s="40"/>
    </row>
    <row r="687" ht="15.75" customHeight="1">
      <c r="A687" s="40"/>
      <c r="B687" s="40"/>
      <c r="C687" s="40"/>
      <c r="D687" s="40"/>
      <c r="E687" s="40"/>
      <c r="F687" s="40"/>
    </row>
    <row r="688" ht="15.75" customHeight="1">
      <c r="A688" s="40"/>
      <c r="B688" s="40"/>
      <c r="C688" s="40"/>
      <c r="D688" s="40"/>
      <c r="E688" s="40"/>
      <c r="F688" s="40"/>
    </row>
    <row r="689" ht="15.75" customHeight="1">
      <c r="A689" s="40"/>
      <c r="B689" s="40"/>
      <c r="C689" s="40"/>
      <c r="D689" s="40"/>
      <c r="E689" s="40"/>
      <c r="F689" s="40"/>
    </row>
    <row r="690" ht="15.75" customHeight="1">
      <c r="A690" s="40"/>
      <c r="B690" s="40"/>
      <c r="C690" s="40"/>
      <c r="D690" s="40"/>
      <c r="E690" s="40"/>
      <c r="F690" s="40"/>
    </row>
    <row r="691" ht="15.75" customHeight="1">
      <c r="A691" s="40"/>
      <c r="B691" s="40"/>
      <c r="C691" s="40"/>
      <c r="D691" s="40"/>
      <c r="E691" s="40"/>
      <c r="F691" s="40"/>
    </row>
    <row r="692" ht="15.75" customHeight="1">
      <c r="A692" s="40"/>
      <c r="B692" s="40"/>
      <c r="C692" s="40"/>
      <c r="D692" s="40"/>
      <c r="E692" s="40"/>
      <c r="F692" s="40"/>
    </row>
    <row r="693" ht="15.75" customHeight="1">
      <c r="A693" s="40"/>
      <c r="B693" s="40"/>
      <c r="C693" s="40"/>
      <c r="D693" s="40"/>
      <c r="E693" s="40"/>
      <c r="F693" s="40"/>
    </row>
    <row r="694" ht="15.75" customHeight="1">
      <c r="A694" s="40"/>
      <c r="B694" s="40"/>
      <c r="C694" s="40"/>
      <c r="D694" s="40"/>
      <c r="E694" s="40"/>
      <c r="F694" s="40"/>
    </row>
    <row r="695" ht="15.75" customHeight="1">
      <c r="A695" s="40"/>
      <c r="B695" s="40"/>
      <c r="C695" s="40"/>
      <c r="D695" s="40"/>
      <c r="E695" s="40"/>
      <c r="F695" s="40"/>
    </row>
    <row r="696" ht="15.75" customHeight="1">
      <c r="A696" s="40"/>
      <c r="B696" s="40"/>
      <c r="C696" s="40"/>
      <c r="D696" s="40"/>
      <c r="E696" s="40"/>
      <c r="F696" s="40"/>
    </row>
    <row r="697" ht="15.75" customHeight="1">
      <c r="A697" s="40"/>
      <c r="B697" s="40"/>
      <c r="C697" s="40"/>
      <c r="D697" s="40"/>
      <c r="E697" s="40"/>
      <c r="F697" s="40"/>
    </row>
    <row r="698" ht="15.75" customHeight="1">
      <c r="A698" s="40"/>
      <c r="B698" s="40"/>
      <c r="C698" s="40"/>
      <c r="D698" s="40"/>
      <c r="E698" s="40"/>
      <c r="F698" s="40"/>
    </row>
    <row r="699" ht="15.75" customHeight="1">
      <c r="A699" s="40"/>
      <c r="B699" s="40"/>
      <c r="C699" s="40"/>
      <c r="D699" s="40"/>
      <c r="E699" s="40"/>
      <c r="F699" s="40"/>
    </row>
    <row r="700" ht="15.75" customHeight="1">
      <c r="A700" s="40"/>
      <c r="B700" s="40"/>
      <c r="C700" s="40"/>
      <c r="D700" s="40"/>
      <c r="E700" s="40"/>
      <c r="F700" s="40"/>
    </row>
    <row r="701" ht="15.75" customHeight="1">
      <c r="A701" s="40"/>
      <c r="B701" s="40"/>
      <c r="C701" s="40"/>
      <c r="D701" s="40"/>
      <c r="E701" s="40"/>
      <c r="F701" s="40"/>
    </row>
    <row r="702" ht="15.75" customHeight="1">
      <c r="A702" s="40"/>
      <c r="B702" s="40"/>
      <c r="C702" s="40"/>
      <c r="D702" s="40"/>
      <c r="E702" s="40"/>
      <c r="F702" s="40"/>
    </row>
    <row r="703" ht="15.75" customHeight="1">
      <c r="A703" s="40"/>
      <c r="B703" s="40"/>
      <c r="C703" s="40"/>
      <c r="D703" s="40"/>
      <c r="E703" s="40"/>
      <c r="F703" s="40"/>
    </row>
    <row r="704" ht="15.75" customHeight="1">
      <c r="A704" s="40"/>
      <c r="B704" s="40"/>
      <c r="C704" s="40"/>
      <c r="D704" s="40"/>
      <c r="E704" s="40"/>
      <c r="F704" s="40"/>
    </row>
    <row r="705" ht="15.75" customHeight="1">
      <c r="A705" s="40"/>
      <c r="B705" s="40"/>
      <c r="C705" s="40"/>
      <c r="D705" s="40"/>
      <c r="E705" s="40"/>
      <c r="F705" s="40"/>
    </row>
    <row r="706" ht="15.75" customHeight="1">
      <c r="A706" s="40"/>
      <c r="B706" s="40"/>
      <c r="C706" s="40"/>
      <c r="D706" s="40"/>
      <c r="E706" s="40"/>
      <c r="F706" s="40"/>
    </row>
    <row r="707" ht="15.75" customHeight="1">
      <c r="A707" s="40"/>
      <c r="B707" s="40"/>
      <c r="C707" s="40"/>
      <c r="D707" s="40"/>
      <c r="E707" s="40"/>
      <c r="F707" s="40"/>
    </row>
    <row r="708" ht="15.75" customHeight="1">
      <c r="A708" s="40"/>
      <c r="B708" s="40"/>
      <c r="C708" s="40"/>
      <c r="D708" s="40"/>
      <c r="E708" s="40"/>
      <c r="F708" s="40"/>
    </row>
    <row r="709" ht="15.75" customHeight="1">
      <c r="A709" s="40"/>
      <c r="B709" s="40"/>
      <c r="C709" s="40"/>
      <c r="D709" s="40"/>
      <c r="E709" s="40"/>
      <c r="F709" s="40"/>
    </row>
    <row r="710" ht="15.75" customHeight="1">
      <c r="A710" s="40"/>
      <c r="B710" s="40"/>
      <c r="C710" s="40"/>
      <c r="D710" s="40"/>
      <c r="E710" s="40"/>
      <c r="F710" s="40"/>
    </row>
    <row r="711" ht="15.75" customHeight="1">
      <c r="A711" s="40"/>
      <c r="B711" s="40"/>
      <c r="C711" s="40"/>
      <c r="D711" s="40"/>
      <c r="E711" s="40"/>
      <c r="F711" s="40"/>
    </row>
    <row r="712" ht="15.75" customHeight="1">
      <c r="A712" s="40"/>
      <c r="B712" s="40"/>
      <c r="C712" s="40"/>
      <c r="D712" s="40"/>
      <c r="E712" s="40"/>
      <c r="F712" s="40"/>
    </row>
    <row r="713" ht="15.75" customHeight="1">
      <c r="A713" s="40"/>
      <c r="B713" s="40"/>
      <c r="C713" s="40"/>
      <c r="D713" s="40"/>
      <c r="E713" s="40"/>
      <c r="F713" s="40"/>
    </row>
    <row r="714" ht="15.75" customHeight="1">
      <c r="A714" s="40"/>
      <c r="B714" s="40"/>
      <c r="C714" s="40"/>
      <c r="D714" s="40"/>
      <c r="E714" s="40"/>
      <c r="F714" s="40"/>
    </row>
    <row r="715" ht="15.75" customHeight="1">
      <c r="A715" s="40"/>
      <c r="B715" s="40"/>
      <c r="C715" s="40"/>
      <c r="D715" s="40"/>
      <c r="E715" s="40"/>
      <c r="F715" s="40"/>
    </row>
    <row r="716" ht="15.75" customHeight="1">
      <c r="A716" s="40"/>
      <c r="B716" s="40"/>
      <c r="C716" s="40"/>
      <c r="D716" s="40"/>
      <c r="E716" s="40"/>
      <c r="F716" s="40"/>
    </row>
    <row r="717" ht="15.75" customHeight="1">
      <c r="A717" s="40"/>
      <c r="B717" s="40"/>
      <c r="C717" s="40"/>
      <c r="D717" s="40"/>
      <c r="E717" s="40"/>
      <c r="F717" s="40"/>
    </row>
    <row r="718" ht="15.75" customHeight="1">
      <c r="A718" s="40"/>
      <c r="B718" s="40"/>
      <c r="C718" s="40"/>
      <c r="D718" s="40"/>
      <c r="E718" s="40"/>
      <c r="F718" s="40"/>
    </row>
    <row r="719" ht="15.75" customHeight="1">
      <c r="A719" s="40"/>
      <c r="B719" s="40"/>
      <c r="C719" s="40"/>
      <c r="D719" s="40"/>
      <c r="E719" s="40"/>
      <c r="F719" s="40"/>
    </row>
    <row r="720" ht="15.75" customHeight="1">
      <c r="A720" s="40"/>
      <c r="B720" s="40"/>
      <c r="C720" s="40"/>
      <c r="D720" s="40"/>
      <c r="E720" s="40"/>
      <c r="F720" s="40"/>
    </row>
    <row r="721" ht="15.75" customHeight="1">
      <c r="A721" s="40"/>
      <c r="B721" s="40"/>
      <c r="C721" s="40"/>
      <c r="D721" s="40"/>
      <c r="E721" s="40"/>
      <c r="F721" s="40"/>
    </row>
    <row r="722" ht="15.75" customHeight="1">
      <c r="A722" s="40"/>
      <c r="B722" s="40"/>
      <c r="C722" s="40"/>
      <c r="D722" s="40"/>
      <c r="E722" s="40"/>
      <c r="F722" s="40"/>
    </row>
    <row r="723" ht="15.75" customHeight="1">
      <c r="A723" s="40"/>
      <c r="B723" s="40"/>
      <c r="C723" s="40"/>
      <c r="D723" s="40"/>
      <c r="E723" s="40"/>
      <c r="F723" s="40"/>
    </row>
    <row r="724" ht="15.75" customHeight="1">
      <c r="A724" s="40"/>
      <c r="B724" s="40"/>
      <c r="C724" s="40"/>
      <c r="D724" s="40"/>
      <c r="E724" s="40"/>
      <c r="F724" s="40"/>
    </row>
    <row r="725" ht="15.75" customHeight="1">
      <c r="A725" s="40"/>
      <c r="B725" s="40"/>
      <c r="C725" s="40"/>
      <c r="D725" s="40"/>
      <c r="E725" s="40"/>
      <c r="F725" s="40"/>
    </row>
    <row r="726" ht="15.75" customHeight="1">
      <c r="A726" s="40"/>
      <c r="B726" s="40"/>
      <c r="C726" s="40"/>
      <c r="D726" s="40"/>
      <c r="E726" s="40"/>
      <c r="F726" s="40"/>
    </row>
    <row r="727" ht="15.75" customHeight="1">
      <c r="A727" s="40"/>
      <c r="B727" s="40"/>
      <c r="C727" s="40"/>
      <c r="D727" s="40"/>
      <c r="E727" s="40"/>
      <c r="F727" s="40"/>
    </row>
    <row r="728" ht="15.75" customHeight="1">
      <c r="A728" s="40"/>
      <c r="B728" s="40"/>
      <c r="C728" s="40"/>
      <c r="D728" s="40"/>
      <c r="E728" s="40"/>
      <c r="F728" s="40"/>
    </row>
    <row r="729" ht="15.75" customHeight="1">
      <c r="A729" s="40"/>
      <c r="B729" s="40"/>
      <c r="C729" s="40"/>
      <c r="D729" s="40"/>
      <c r="E729" s="40"/>
      <c r="F729" s="40"/>
    </row>
    <row r="730" ht="15.75" customHeight="1">
      <c r="A730" s="40"/>
      <c r="B730" s="40"/>
      <c r="C730" s="40"/>
      <c r="D730" s="40"/>
      <c r="E730" s="40"/>
      <c r="F730" s="40"/>
    </row>
    <row r="731" ht="15.75" customHeight="1">
      <c r="A731" s="40"/>
      <c r="B731" s="40"/>
      <c r="C731" s="40"/>
      <c r="D731" s="40"/>
      <c r="E731" s="40"/>
      <c r="F731" s="40"/>
    </row>
    <row r="732" ht="15.75" customHeight="1">
      <c r="A732" s="40"/>
      <c r="B732" s="40"/>
      <c r="C732" s="40"/>
      <c r="D732" s="40"/>
      <c r="E732" s="40"/>
      <c r="F732" s="40"/>
    </row>
    <row r="733" ht="15.75" customHeight="1">
      <c r="A733" s="40"/>
      <c r="B733" s="40"/>
      <c r="C733" s="40"/>
      <c r="D733" s="40"/>
      <c r="E733" s="40"/>
      <c r="F733" s="40"/>
    </row>
    <row r="734" ht="15.75" customHeight="1">
      <c r="A734" s="40"/>
      <c r="B734" s="40"/>
      <c r="C734" s="40"/>
      <c r="D734" s="40"/>
      <c r="E734" s="40"/>
      <c r="F734" s="40"/>
    </row>
    <row r="735" ht="15.75" customHeight="1">
      <c r="A735" s="40"/>
      <c r="B735" s="40"/>
      <c r="C735" s="40"/>
      <c r="D735" s="40"/>
      <c r="E735" s="40"/>
      <c r="F735" s="40"/>
    </row>
    <row r="736" ht="15.75" customHeight="1">
      <c r="A736" s="40"/>
      <c r="B736" s="40"/>
      <c r="C736" s="40"/>
      <c r="D736" s="40"/>
      <c r="E736" s="40"/>
      <c r="F736" s="40"/>
    </row>
    <row r="737" ht="15.75" customHeight="1">
      <c r="A737" s="40"/>
      <c r="B737" s="40"/>
      <c r="C737" s="40"/>
      <c r="D737" s="40"/>
      <c r="E737" s="40"/>
      <c r="F737" s="40"/>
    </row>
    <row r="738" ht="15.75" customHeight="1">
      <c r="A738" s="40"/>
      <c r="B738" s="40"/>
      <c r="C738" s="40"/>
      <c r="D738" s="40"/>
      <c r="E738" s="40"/>
      <c r="F738" s="40"/>
    </row>
    <row r="739" ht="15.75" customHeight="1">
      <c r="A739" s="40"/>
      <c r="B739" s="40"/>
      <c r="C739" s="40"/>
      <c r="D739" s="40"/>
      <c r="E739" s="40"/>
      <c r="F739" s="40"/>
    </row>
    <row r="740" ht="15.75" customHeight="1">
      <c r="A740" s="40"/>
      <c r="B740" s="40"/>
      <c r="C740" s="40"/>
      <c r="D740" s="40"/>
      <c r="E740" s="40"/>
      <c r="F740" s="40"/>
    </row>
    <row r="741" ht="15.75" customHeight="1">
      <c r="A741" s="40"/>
      <c r="B741" s="40"/>
      <c r="C741" s="40"/>
      <c r="D741" s="40"/>
      <c r="E741" s="40"/>
      <c r="F741" s="40"/>
    </row>
    <row r="742" ht="15.75" customHeight="1">
      <c r="A742" s="40"/>
      <c r="B742" s="40"/>
      <c r="C742" s="40"/>
      <c r="D742" s="40"/>
      <c r="E742" s="40"/>
      <c r="F742" s="40"/>
    </row>
    <row r="743" ht="15.75" customHeight="1">
      <c r="A743" s="40"/>
      <c r="B743" s="40"/>
      <c r="C743" s="40"/>
      <c r="D743" s="40"/>
      <c r="E743" s="40"/>
      <c r="F743" s="40"/>
    </row>
    <row r="744" ht="15.75" customHeight="1">
      <c r="A744" s="40"/>
      <c r="B744" s="40"/>
      <c r="C744" s="40"/>
      <c r="D744" s="40"/>
      <c r="E744" s="40"/>
      <c r="F744" s="40"/>
    </row>
    <row r="745" ht="15.75" customHeight="1">
      <c r="A745" s="40"/>
      <c r="B745" s="40"/>
      <c r="C745" s="40"/>
      <c r="D745" s="40"/>
      <c r="E745" s="40"/>
      <c r="F745" s="40"/>
    </row>
    <row r="746" ht="15.75" customHeight="1">
      <c r="A746" s="40"/>
      <c r="B746" s="40"/>
      <c r="C746" s="40"/>
      <c r="D746" s="40"/>
      <c r="E746" s="40"/>
      <c r="F746" s="40"/>
    </row>
    <row r="747" ht="15.75" customHeight="1">
      <c r="A747" s="40"/>
      <c r="B747" s="40"/>
      <c r="C747" s="40"/>
      <c r="D747" s="40"/>
      <c r="E747" s="40"/>
      <c r="F747" s="40"/>
    </row>
    <row r="748" ht="15.75" customHeight="1">
      <c r="A748" s="40"/>
      <c r="B748" s="40"/>
      <c r="C748" s="40"/>
      <c r="D748" s="40"/>
      <c r="E748" s="40"/>
      <c r="F748" s="40"/>
    </row>
    <row r="749" ht="15.75" customHeight="1">
      <c r="A749" s="40"/>
      <c r="B749" s="40"/>
      <c r="C749" s="40"/>
      <c r="D749" s="40"/>
      <c r="E749" s="40"/>
      <c r="F749" s="40"/>
    </row>
    <row r="750" ht="15.75" customHeight="1">
      <c r="A750" s="40"/>
      <c r="B750" s="40"/>
      <c r="C750" s="40"/>
      <c r="D750" s="40"/>
      <c r="E750" s="40"/>
      <c r="F750" s="40"/>
    </row>
    <row r="751" ht="15.75" customHeight="1">
      <c r="A751" s="40"/>
      <c r="B751" s="40"/>
      <c r="C751" s="40"/>
      <c r="D751" s="40"/>
      <c r="E751" s="40"/>
      <c r="F751" s="40"/>
    </row>
    <row r="752" ht="15.75" customHeight="1">
      <c r="A752" s="40"/>
      <c r="B752" s="40"/>
      <c r="C752" s="40"/>
      <c r="D752" s="40"/>
      <c r="E752" s="40"/>
      <c r="F752" s="40"/>
    </row>
    <row r="753" ht="15.75" customHeight="1">
      <c r="A753" s="40"/>
      <c r="B753" s="40"/>
      <c r="C753" s="40"/>
      <c r="D753" s="40"/>
      <c r="E753" s="40"/>
      <c r="F753" s="40"/>
    </row>
    <row r="754" ht="15.75" customHeight="1">
      <c r="A754" s="40"/>
      <c r="B754" s="40"/>
      <c r="C754" s="40"/>
      <c r="D754" s="40"/>
      <c r="E754" s="40"/>
      <c r="F754" s="40"/>
    </row>
    <row r="755" ht="15.75" customHeight="1">
      <c r="A755" s="40"/>
      <c r="B755" s="40"/>
      <c r="C755" s="40"/>
      <c r="D755" s="40"/>
      <c r="E755" s="40"/>
      <c r="F755" s="40"/>
    </row>
    <row r="756" ht="15.75" customHeight="1">
      <c r="A756" s="40"/>
      <c r="B756" s="40"/>
      <c r="C756" s="40"/>
      <c r="D756" s="40"/>
      <c r="E756" s="40"/>
      <c r="F756" s="40"/>
    </row>
    <row r="757" ht="15.75" customHeight="1">
      <c r="A757" s="40"/>
      <c r="B757" s="40"/>
      <c r="C757" s="40"/>
      <c r="D757" s="40"/>
      <c r="E757" s="40"/>
      <c r="F757" s="40"/>
    </row>
    <row r="758" ht="15.75" customHeight="1">
      <c r="A758" s="40"/>
      <c r="B758" s="40"/>
      <c r="C758" s="40"/>
      <c r="D758" s="40"/>
      <c r="E758" s="40"/>
      <c r="F758" s="40"/>
    </row>
    <row r="759" ht="15.75" customHeight="1">
      <c r="A759" s="40"/>
      <c r="B759" s="40"/>
      <c r="C759" s="40"/>
      <c r="D759" s="40"/>
      <c r="E759" s="40"/>
      <c r="F759" s="40"/>
    </row>
    <row r="760" ht="15.75" customHeight="1">
      <c r="A760" s="40"/>
      <c r="B760" s="40"/>
      <c r="C760" s="40"/>
      <c r="D760" s="40"/>
      <c r="E760" s="40"/>
      <c r="F760" s="40"/>
    </row>
    <row r="761" ht="15.75" customHeight="1">
      <c r="A761" s="40"/>
      <c r="B761" s="40"/>
      <c r="C761" s="40"/>
      <c r="D761" s="40"/>
      <c r="E761" s="40"/>
      <c r="F761" s="40"/>
    </row>
    <row r="762" ht="15.75" customHeight="1">
      <c r="A762" s="40"/>
      <c r="B762" s="40"/>
      <c r="C762" s="40"/>
      <c r="D762" s="40"/>
      <c r="E762" s="40"/>
      <c r="F762" s="40"/>
    </row>
    <row r="763" ht="15.75" customHeight="1">
      <c r="A763" s="40"/>
      <c r="B763" s="40"/>
      <c r="C763" s="40"/>
      <c r="D763" s="40"/>
      <c r="E763" s="40"/>
      <c r="F763" s="40"/>
    </row>
    <row r="764" ht="15.75" customHeight="1">
      <c r="A764" s="40"/>
      <c r="B764" s="40"/>
      <c r="C764" s="40"/>
      <c r="D764" s="40"/>
      <c r="E764" s="40"/>
      <c r="F764" s="40"/>
    </row>
    <row r="765" ht="15.75" customHeight="1">
      <c r="A765" s="40"/>
      <c r="B765" s="40"/>
      <c r="C765" s="40"/>
      <c r="D765" s="40"/>
      <c r="E765" s="40"/>
      <c r="F765" s="40"/>
    </row>
    <row r="766" ht="15.75" customHeight="1">
      <c r="A766" s="40"/>
      <c r="B766" s="40"/>
      <c r="C766" s="40"/>
      <c r="D766" s="40"/>
      <c r="E766" s="40"/>
      <c r="F766" s="40"/>
    </row>
    <row r="767" ht="15.75" customHeight="1">
      <c r="A767" s="40"/>
      <c r="B767" s="40"/>
      <c r="C767" s="40"/>
      <c r="D767" s="40"/>
      <c r="E767" s="40"/>
      <c r="F767" s="40"/>
    </row>
    <row r="768" ht="15.75" customHeight="1">
      <c r="A768" s="40"/>
      <c r="B768" s="40"/>
      <c r="C768" s="40"/>
      <c r="D768" s="40"/>
      <c r="E768" s="40"/>
      <c r="F768" s="40"/>
    </row>
    <row r="769" ht="15.75" customHeight="1">
      <c r="A769" s="40"/>
      <c r="B769" s="40"/>
      <c r="C769" s="40"/>
      <c r="D769" s="40"/>
      <c r="E769" s="40"/>
      <c r="F769" s="40"/>
    </row>
    <row r="770" ht="15.75" customHeight="1">
      <c r="A770" s="40"/>
      <c r="B770" s="40"/>
      <c r="C770" s="40"/>
      <c r="D770" s="40"/>
      <c r="E770" s="40"/>
      <c r="F770" s="40"/>
    </row>
    <row r="771" ht="15.75" customHeight="1">
      <c r="A771" s="40"/>
      <c r="B771" s="40"/>
      <c r="C771" s="40"/>
      <c r="D771" s="40"/>
      <c r="E771" s="40"/>
      <c r="F771" s="40"/>
    </row>
    <row r="772" ht="15.75" customHeight="1">
      <c r="A772" s="40"/>
      <c r="B772" s="40"/>
      <c r="C772" s="40"/>
      <c r="D772" s="40"/>
      <c r="E772" s="40"/>
      <c r="F772" s="40"/>
    </row>
    <row r="773" ht="15.75" customHeight="1">
      <c r="A773" s="40"/>
      <c r="B773" s="40"/>
      <c r="C773" s="40"/>
      <c r="D773" s="40"/>
      <c r="E773" s="40"/>
      <c r="F773" s="40"/>
    </row>
    <row r="774" ht="15.75" customHeight="1">
      <c r="A774" s="40"/>
      <c r="B774" s="40"/>
      <c r="C774" s="40"/>
      <c r="D774" s="40"/>
      <c r="E774" s="40"/>
      <c r="F774" s="40"/>
    </row>
    <row r="775" ht="15.75" customHeight="1">
      <c r="A775" s="40"/>
      <c r="B775" s="40"/>
      <c r="C775" s="40"/>
      <c r="D775" s="40"/>
      <c r="E775" s="40"/>
      <c r="F775" s="40"/>
    </row>
    <row r="776" ht="15.75" customHeight="1">
      <c r="A776" s="40"/>
      <c r="B776" s="40"/>
      <c r="C776" s="40"/>
      <c r="D776" s="40"/>
      <c r="E776" s="40"/>
      <c r="F776" s="40"/>
    </row>
    <row r="777" ht="15.75" customHeight="1">
      <c r="A777" s="40"/>
      <c r="B777" s="40"/>
      <c r="C777" s="40"/>
      <c r="D777" s="40"/>
      <c r="E777" s="40"/>
      <c r="F777" s="40"/>
    </row>
    <row r="778" ht="15.75" customHeight="1">
      <c r="A778" s="40"/>
      <c r="B778" s="40"/>
      <c r="C778" s="40"/>
      <c r="D778" s="40"/>
      <c r="E778" s="40"/>
      <c r="F778" s="40"/>
    </row>
    <row r="779" ht="15.75" customHeight="1">
      <c r="A779" s="40"/>
      <c r="B779" s="40"/>
      <c r="C779" s="40"/>
      <c r="D779" s="40"/>
      <c r="E779" s="40"/>
      <c r="F779" s="40"/>
    </row>
    <row r="780" ht="15.75" customHeight="1">
      <c r="A780" s="40"/>
      <c r="B780" s="40"/>
      <c r="C780" s="40"/>
      <c r="D780" s="40"/>
      <c r="E780" s="40"/>
      <c r="F780" s="40"/>
    </row>
    <row r="781" ht="15.75" customHeight="1">
      <c r="A781" s="40"/>
      <c r="B781" s="40"/>
      <c r="C781" s="40"/>
      <c r="D781" s="40"/>
      <c r="E781" s="40"/>
      <c r="F781" s="40"/>
    </row>
    <row r="782" ht="15.75" customHeight="1">
      <c r="A782" s="40"/>
      <c r="B782" s="40"/>
      <c r="C782" s="40"/>
      <c r="D782" s="40"/>
      <c r="E782" s="40"/>
      <c r="F782" s="40"/>
    </row>
    <row r="783" ht="15.75" customHeight="1">
      <c r="A783" s="40"/>
      <c r="B783" s="40"/>
      <c r="C783" s="40"/>
      <c r="D783" s="40"/>
      <c r="E783" s="40"/>
      <c r="F783" s="40"/>
    </row>
    <row r="784" ht="15.75" customHeight="1">
      <c r="A784" s="40"/>
      <c r="B784" s="40"/>
      <c r="C784" s="40"/>
      <c r="D784" s="40"/>
      <c r="E784" s="40"/>
      <c r="F784" s="40"/>
    </row>
    <row r="785" ht="15.75" customHeight="1">
      <c r="A785" s="40"/>
      <c r="B785" s="40"/>
      <c r="C785" s="40"/>
      <c r="D785" s="40"/>
      <c r="E785" s="40"/>
      <c r="F785" s="40"/>
    </row>
    <row r="786" ht="15.75" customHeight="1">
      <c r="A786" s="40"/>
      <c r="B786" s="40"/>
      <c r="C786" s="40"/>
      <c r="D786" s="40"/>
      <c r="E786" s="40"/>
      <c r="F786" s="40"/>
    </row>
    <row r="787" ht="15.75" customHeight="1">
      <c r="A787" s="40"/>
      <c r="B787" s="40"/>
      <c r="C787" s="40"/>
      <c r="D787" s="40"/>
      <c r="E787" s="40"/>
      <c r="F787" s="40"/>
    </row>
    <row r="788" ht="15.75" customHeight="1">
      <c r="A788" s="40"/>
      <c r="B788" s="40"/>
      <c r="C788" s="40"/>
      <c r="D788" s="40"/>
      <c r="E788" s="40"/>
      <c r="F788" s="40"/>
    </row>
    <row r="789" ht="15.75" customHeight="1">
      <c r="A789" s="40"/>
      <c r="B789" s="40"/>
      <c r="C789" s="40"/>
      <c r="D789" s="40"/>
      <c r="E789" s="40"/>
      <c r="F789" s="40"/>
    </row>
    <row r="790" ht="15.75" customHeight="1">
      <c r="A790" s="40"/>
      <c r="B790" s="40"/>
      <c r="C790" s="40"/>
      <c r="D790" s="40"/>
      <c r="E790" s="40"/>
      <c r="F790" s="40"/>
    </row>
    <row r="791" ht="15.75" customHeight="1">
      <c r="A791" s="40"/>
      <c r="B791" s="40"/>
      <c r="C791" s="40"/>
      <c r="D791" s="40"/>
      <c r="E791" s="40"/>
      <c r="F791" s="40"/>
    </row>
    <row r="792" ht="15.75" customHeight="1">
      <c r="A792" s="40"/>
      <c r="B792" s="40"/>
      <c r="C792" s="40"/>
      <c r="D792" s="40"/>
      <c r="E792" s="40"/>
      <c r="F792" s="40"/>
    </row>
    <row r="793" ht="15.75" customHeight="1">
      <c r="A793" s="40"/>
      <c r="B793" s="40"/>
      <c r="C793" s="40"/>
      <c r="D793" s="40"/>
      <c r="E793" s="40"/>
      <c r="F793" s="40"/>
    </row>
    <row r="794" ht="15.75" customHeight="1">
      <c r="A794" s="40"/>
      <c r="B794" s="40"/>
      <c r="C794" s="40"/>
      <c r="D794" s="40"/>
      <c r="E794" s="40"/>
      <c r="F794" s="40"/>
    </row>
    <row r="795" ht="15.75" customHeight="1">
      <c r="A795" s="40"/>
      <c r="B795" s="40"/>
      <c r="C795" s="40"/>
      <c r="D795" s="40"/>
      <c r="E795" s="40"/>
      <c r="F795" s="40"/>
    </row>
    <row r="796" ht="15.75" customHeight="1">
      <c r="A796" s="40"/>
      <c r="B796" s="40"/>
      <c r="C796" s="40"/>
      <c r="D796" s="40"/>
      <c r="E796" s="40"/>
      <c r="F796" s="40"/>
    </row>
    <row r="797" ht="15.75" customHeight="1">
      <c r="A797" s="40"/>
      <c r="B797" s="40"/>
      <c r="C797" s="40"/>
      <c r="D797" s="40"/>
      <c r="E797" s="40"/>
      <c r="F797" s="40"/>
    </row>
    <row r="798" ht="15.75" customHeight="1">
      <c r="A798" s="40"/>
      <c r="B798" s="40"/>
      <c r="C798" s="40"/>
      <c r="D798" s="40"/>
      <c r="E798" s="40"/>
      <c r="F798" s="40"/>
    </row>
    <row r="799" ht="15.75" customHeight="1">
      <c r="A799" s="40"/>
      <c r="B799" s="40"/>
      <c r="C799" s="40"/>
      <c r="D799" s="40"/>
      <c r="E799" s="40"/>
      <c r="F799" s="40"/>
    </row>
    <row r="800" ht="15.75" customHeight="1">
      <c r="A800" s="40"/>
      <c r="B800" s="40"/>
      <c r="C800" s="40"/>
      <c r="D800" s="40"/>
      <c r="E800" s="40"/>
      <c r="F800" s="40"/>
    </row>
    <row r="801" ht="15.75" customHeight="1">
      <c r="A801" s="40"/>
      <c r="B801" s="40"/>
      <c r="C801" s="40"/>
      <c r="D801" s="40"/>
      <c r="E801" s="40"/>
      <c r="F801" s="40"/>
    </row>
    <row r="802" ht="15.75" customHeight="1">
      <c r="A802" s="40"/>
      <c r="B802" s="40"/>
      <c r="C802" s="40"/>
      <c r="D802" s="40"/>
      <c r="E802" s="40"/>
      <c r="F802" s="40"/>
    </row>
    <row r="803" ht="15.75" customHeight="1">
      <c r="A803" s="40"/>
      <c r="B803" s="40"/>
      <c r="C803" s="40"/>
      <c r="D803" s="40"/>
      <c r="E803" s="40"/>
      <c r="F803" s="40"/>
    </row>
    <row r="804" ht="15.75" customHeight="1">
      <c r="A804" s="40"/>
      <c r="B804" s="40"/>
      <c r="C804" s="40"/>
      <c r="D804" s="40"/>
      <c r="E804" s="40"/>
      <c r="F804" s="40"/>
    </row>
    <row r="805" ht="15.75" customHeight="1">
      <c r="A805" s="40"/>
      <c r="B805" s="40"/>
      <c r="C805" s="40"/>
      <c r="D805" s="40"/>
      <c r="E805" s="40"/>
      <c r="F805" s="40"/>
    </row>
    <row r="806" ht="15.75" customHeight="1">
      <c r="A806" s="40"/>
      <c r="B806" s="40"/>
      <c r="C806" s="40"/>
      <c r="D806" s="40"/>
      <c r="E806" s="40"/>
      <c r="F806" s="40"/>
    </row>
    <row r="807" ht="15.75" customHeight="1">
      <c r="A807" s="40"/>
      <c r="B807" s="40"/>
      <c r="C807" s="40"/>
      <c r="D807" s="40"/>
      <c r="E807" s="40"/>
      <c r="F807" s="40"/>
    </row>
    <row r="808" ht="15.75" customHeight="1">
      <c r="A808" s="40"/>
      <c r="B808" s="40"/>
      <c r="C808" s="40"/>
      <c r="D808" s="40"/>
      <c r="E808" s="40"/>
      <c r="F808" s="40"/>
    </row>
    <row r="809" ht="15.75" customHeight="1">
      <c r="A809" s="40"/>
      <c r="B809" s="40"/>
      <c r="C809" s="40"/>
      <c r="D809" s="40"/>
      <c r="E809" s="40"/>
      <c r="F809" s="40"/>
    </row>
    <row r="810" ht="15.75" customHeight="1">
      <c r="A810" s="40"/>
      <c r="B810" s="40"/>
      <c r="C810" s="40"/>
      <c r="D810" s="40"/>
      <c r="E810" s="40"/>
      <c r="F810" s="40"/>
    </row>
    <row r="811" ht="15.75" customHeight="1">
      <c r="A811" s="40"/>
      <c r="B811" s="40"/>
      <c r="C811" s="40"/>
      <c r="D811" s="40"/>
      <c r="E811" s="40"/>
      <c r="F811" s="40"/>
    </row>
    <row r="812" ht="15.75" customHeight="1">
      <c r="A812" s="40"/>
      <c r="B812" s="40"/>
      <c r="C812" s="40"/>
      <c r="D812" s="40"/>
      <c r="E812" s="40"/>
      <c r="F812" s="40"/>
    </row>
    <row r="813" ht="15.75" customHeight="1">
      <c r="A813" s="40"/>
      <c r="B813" s="40"/>
      <c r="C813" s="40"/>
      <c r="D813" s="40"/>
      <c r="E813" s="40"/>
      <c r="F813" s="40"/>
    </row>
    <row r="814" ht="15.75" customHeight="1">
      <c r="A814" s="40"/>
      <c r="B814" s="40"/>
      <c r="C814" s="40"/>
      <c r="D814" s="40"/>
      <c r="E814" s="40"/>
      <c r="F814" s="40"/>
    </row>
    <row r="815" ht="15.75" customHeight="1">
      <c r="A815" s="40"/>
      <c r="B815" s="40"/>
      <c r="C815" s="40"/>
      <c r="D815" s="40"/>
      <c r="E815" s="40"/>
      <c r="F815" s="40"/>
    </row>
    <row r="816" ht="15.75" customHeight="1">
      <c r="A816" s="40"/>
      <c r="B816" s="40"/>
      <c r="C816" s="40"/>
      <c r="D816" s="40"/>
      <c r="E816" s="40"/>
      <c r="F816" s="40"/>
    </row>
    <row r="817" ht="15.75" customHeight="1">
      <c r="A817" s="40"/>
      <c r="B817" s="40"/>
      <c r="C817" s="40"/>
      <c r="D817" s="40"/>
      <c r="E817" s="40"/>
      <c r="F817" s="40"/>
    </row>
    <row r="818" ht="15.75" customHeight="1">
      <c r="A818" s="40"/>
      <c r="B818" s="40"/>
      <c r="C818" s="40"/>
      <c r="D818" s="40"/>
      <c r="E818" s="40"/>
      <c r="F818" s="40"/>
    </row>
    <row r="819" ht="15.75" customHeight="1">
      <c r="A819" s="40"/>
      <c r="B819" s="40"/>
      <c r="C819" s="40"/>
      <c r="D819" s="40"/>
      <c r="E819" s="40"/>
      <c r="F819" s="40"/>
    </row>
    <row r="820" ht="15.75" customHeight="1">
      <c r="A820" s="40"/>
      <c r="B820" s="40"/>
      <c r="C820" s="40"/>
      <c r="D820" s="40"/>
      <c r="E820" s="40"/>
      <c r="F820" s="40"/>
    </row>
    <row r="821" ht="15.75" customHeight="1">
      <c r="A821" s="40"/>
      <c r="B821" s="40"/>
      <c r="C821" s="40"/>
      <c r="D821" s="40"/>
      <c r="E821" s="40"/>
      <c r="F821" s="40"/>
    </row>
    <row r="822" ht="15.75" customHeight="1">
      <c r="A822" s="40"/>
      <c r="B822" s="40"/>
      <c r="C822" s="40"/>
      <c r="D822" s="40"/>
      <c r="E822" s="40"/>
      <c r="F822" s="40"/>
    </row>
    <row r="823" ht="15.75" customHeight="1">
      <c r="A823" s="40"/>
      <c r="B823" s="40"/>
      <c r="C823" s="40"/>
      <c r="D823" s="40"/>
      <c r="E823" s="40"/>
      <c r="F823" s="40"/>
    </row>
    <row r="824" ht="15.75" customHeight="1">
      <c r="A824" s="40"/>
      <c r="B824" s="40"/>
      <c r="C824" s="40"/>
      <c r="D824" s="40"/>
      <c r="E824" s="40"/>
      <c r="F824" s="40"/>
    </row>
    <row r="825" ht="15.75" customHeight="1">
      <c r="A825" s="40"/>
      <c r="B825" s="40"/>
      <c r="C825" s="40"/>
      <c r="D825" s="40"/>
      <c r="E825" s="40"/>
      <c r="F825" s="40"/>
    </row>
    <row r="826" ht="15.75" customHeight="1">
      <c r="A826" s="40"/>
      <c r="B826" s="40"/>
      <c r="C826" s="40"/>
      <c r="D826" s="40"/>
      <c r="E826" s="40"/>
      <c r="F826" s="40"/>
    </row>
    <row r="827" ht="15.75" customHeight="1">
      <c r="A827" s="40"/>
      <c r="B827" s="40"/>
      <c r="C827" s="40"/>
      <c r="D827" s="40"/>
      <c r="E827" s="40"/>
      <c r="F827" s="40"/>
    </row>
    <row r="828" ht="15.75" customHeight="1">
      <c r="A828" s="40"/>
      <c r="B828" s="40"/>
      <c r="C828" s="40"/>
      <c r="D828" s="40"/>
      <c r="E828" s="40"/>
      <c r="F828" s="40"/>
    </row>
    <row r="829" ht="15.75" customHeight="1">
      <c r="A829" s="40"/>
      <c r="B829" s="40"/>
      <c r="C829" s="40"/>
      <c r="D829" s="40"/>
      <c r="E829" s="40"/>
      <c r="F829" s="40"/>
    </row>
    <row r="830" ht="15.75" customHeight="1">
      <c r="A830" s="40"/>
      <c r="B830" s="40"/>
      <c r="C830" s="40"/>
      <c r="D830" s="40"/>
      <c r="E830" s="40"/>
      <c r="F830" s="40"/>
    </row>
    <row r="831" ht="15.75" customHeight="1">
      <c r="A831" s="40"/>
      <c r="B831" s="40"/>
      <c r="C831" s="40"/>
      <c r="D831" s="40"/>
      <c r="E831" s="40"/>
      <c r="F831" s="40"/>
    </row>
    <row r="832" ht="15.75" customHeight="1">
      <c r="A832" s="40"/>
      <c r="B832" s="40"/>
      <c r="C832" s="40"/>
      <c r="D832" s="40"/>
      <c r="E832" s="40"/>
      <c r="F832" s="40"/>
    </row>
    <row r="833" ht="15.75" customHeight="1">
      <c r="A833" s="40"/>
      <c r="B833" s="40"/>
      <c r="C833" s="40"/>
      <c r="D833" s="40"/>
      <c r="E833" s="40"/>
      <c r="F833" s="40"/>
    </row>
    <row r="834" ht="15.75" customHeight="1">
      <c r="A834" s="40"/>
      <c r="B834" s="40"/>
      <c r="C834" s="40"/>
      <c r="D834" s="40"/>
      <c r="E834" s="40"/>
      <c r="F834" s="40"/>
    </row>
    <row r="835" ht="15.75" customHeight="1">
      <c r="A835" s="40"/>
      <c r="B835" s="40"/>
      <c r="C835" s="40"/>
      <c r="D835" s="40"/>
      <c r="E835" s="40"/>
      <c r="F835" s="40"/>
    </row>
    <row r="836" ht="15.75" customHeight="1">
      <c r="A836" s="40"/>
      <c r="B836" s="40"/>
      <c r="C836" s="40"/>
      <c r="D836" s="40"/>
      <c r="E836" s="40"/>
      <c r="F836" s="40"/>
    </row>
    <row r="837" ht="15.75" customHeight="1">
      <c r="A837" s="40"/>
      <c r="B837" s="40"/>
      <c r="C837" s="40"/>
      <c r="D837" s="40"/>
      <c r="E837" s="40"/>
      <c r="F837" s="40"/>
    </row>
    <row r="838" ht="15.75" customHeight="1">
      <c r="A838" s="40"/>
      <c r="B838" s="40"/>
      <c r="C838" s="40"/>
      <c r="D838" s="40"/>
      <c r="E838" s="40"/>
      <c r="F838" s="40"/>
    </row>
    <row r="839" ht="15.75" customHeight="1">
      <c r="A839" s="40"/>
      <c r="B839" s="40"/>
      <c r="C839" s="40"/>
      <c r="D839" s="40"/>
      <c r="E839" s="40"/>
      <c r="F839" s="40"/>
    </row>
    <row r="840" ht="15.75" customHeight="1">
      <c r="A840" s="40"/>
      <c r="B840" s="40"/>
      <c r="C840" s="40"/>
      <c r="D840" s="40"/>
      <c r="E840" s="40"/>
      <c r="F840" s="40"/>
    </row>
    <row r="841" ht="15.75" customHeight="1">
      <c r="A841" s="40"/>
      <c r="B841" s="40"/>
      <c r="C841" s="40"/>
      <c r="D841" s="40"/>
      <c r="E841" s="40"/>
      <c r="F841" s="40"/>
    </row>
    <row r="842" ht="15.75" customHeight="1">
      <c r="A842" s="40"/>
      <c r="B842" s="40"/>
      <c r="C842" s="40"/>
      <c r="D842" s="40"/>
      <c r="E842" s="40"/>
      <c r="F842" s="40"/>
    </row>
    <row r="843" ht="15.75" customHeight="1">
      <c r="A843" s="40"/>
      <c r="B843" s="40"/>
      <c r="C843" s="40"/>
      <c r="D843" s="40"/>
      <c r="E843" s="40"/>
      <c r="F843" s="40"/>
    </row>
    <row r="844" ht="15.75" customHeight="1">
      <c r="A844" s="40"/>
      <c r="B844" s="40"/>
      <c r="C844" s="40"/>
      <c r="D844" s="40"/>
      <c r="E844" s="40"/>
      <c r="F844" s="40"/>
    </row>
    <row r="845" ht="15.75" customHeight="1">
      <c r="A845" s="40"/>
      <c r="B845" s="40"/>
      <c r="C845" s="40"/>
      <c r="D845" s="40"/>
      <c r="E845" s="40"/>
      <c r="F845" s="40"/>
    </row>
    <row r="846" ht="15.75" customHeight="1">
      <c r="A846" s="40"/>
      <c r="B846" s="40"/>
      <c r="C846" s="40"/>
      <c r="D846" s="40"/>
      <c r="E846" s="40"/>
      <c r="F846" s="40"/>
    </row>
    <row r="847" ht="15.75" customHeight="1">
      <c r="A847" s="40"/>
      <c r="B847" s="40"/>
      <c r="C847" s="40"/>
      <c r="D847" s="40"/>
      <c r="E847" s="40"/>
      <c r="F847" s="40"/>
    </row>
    <row r="848" ht="15.75" customHeight="1">
      <c r="A848" s="40"/>
      <c r="B848" s="40"/>
      <c r="C848" s="40"/>
      <c r="D848" s="40"/>
      <c r="E848" s="40"/>
      <c r="F848" s="40"/>
    </row>
    <row r="849" ht="15.75" customHeight="1">
      <c r="A849" s="40"/>
      <c r="B849" s="40"/>
      <c r="C849" s="40"/>
      <c r="D849" s="40"/>
      <c r="E849" s="40"/>
      <c r="F849" s="40"/>
    </row>
    <row r="850" ht="15.75" customHeight="1">
      <c r="A850" s="40"/>
      <c r="B850" s="40"/>
      <c r="C850" s="40"/>
      <c r="D850" s="40"/>
      <c r="E850" s="40"/>
      <c r="F850" s="40"/>
    </row>
    <row r="851" ht="15.75" customHeight="1">
      <c r="A851" s="40"/>
      <c r="B851" s="40"/>
      <c r="C851" s="40"/>
      <c r="D851" s="40"/>
      <c r="E851" s="40"/>
      <c r="F851" s="40"/>
    </row>
    <row r="852" ht="15.75" customHeight="1">
      <c r="A852" s="40"/>
      <c r="B852" s="40"/>
      <c r="C852" s="40"/>
      <c r="D852" s="40"/>
      <c r="E852" s="40"/>
      <c r="F852" s="40"/>
    </row>
    <row r="853" ht="15.75" customHeight="1">
      <c r="A853" s="40"/>
      <c r="B853" s="40"/>
      <c r="C853" s="40"/>
      <c r="D853" s="40"/>
      <c r="E853" s="40"/>
      <c r="F853" s="40"/>
    </row>
    <row r="854" ht="15.75" customHeight="1">
      <c r="A854" s="40"/>
      <c r="B854" s="40"/>
      <c r="C854" s="40"/>
      <c r="D854" s="40"/>
      <c r="E854" s="40"/>
      <c r="F854" s="40"/>
    </row>
    <row r="855" ht="15.75" customHeight="1">
      <c r="A855" s="40"/>
      <c r="B855" s="40"/>
      <c r="C855" s="40"/>
      <c r="D855" s="40"/>
      <c r="E855" s="40"/>
      <c r="F855" s="40"/>
    </row>
    <row r="856" ht="15.75" customHeight="1">
      <c r="A856" s="40"/>
      <c r="B856" s="40"/>
      <c r="C856" s="40"/>
      <c r="D856" s="40"/>
      <c r="E856" s="40"/>
      <c r="F856" s="40"/>
    </row>
    <row r="857" ht="15.75" customHeight="1">
      <c r="A857" s="40"/>
      <c r="B857" s="40"/>
      <c r="C857" s="40"/>
      <c r="D857" s="40"/>
      <c r="E857" s="40"/>
      <c r="F857" s="40"/>
    </row>
    <row r="858" ht="15.75" customHeight="1">
      <c r="A858" s="40"/>
      <c r="B858" s="40"/>
      <c r="C858" s="40"/>
      <c r="D858" s="40"/>
      <c r="E858" s="40"/>
      <c r="F858" s="40"/>
    </row>
    <row r="859" ht="15.75" customHeight="1">
      <c r="A859" s="40"/>
      <c r="B859" s="40"/>
      <c r="C859" s="40"/>
      <c r="D859" s="40"/>
      <c r="E859" s="40"/>
      <c r="F859" s="40"/>
    </row>
    <row r="860" ht="15.75" customHeight="1">
      <c r="A860" s="40"/>
      <c r="B860" s="40"/>
      <c r="C860" s="40"/>
      <c r="D860" s="40"/>
      <c r="E860" s="40"/>
      <c r="F860" s="40"/>
    </row>
    <row r="861" ht="15.75" customHeight="1">
      <c r="A861" s="40"/>
      <c r="B861" s="40"/>
      <c r="C861" s="40"/>
      <c r="D861" s="40"/>
      <c r="E861" s="40"/>
      <c r="F861" s="40"/>
    </row>
    <row r="862" ht="15.75" customHeight="1">
      <c r="A862" s="40"/>
      <c r="B862" s="40"/>
      <c r="C862" s="40"/>
      <c r="D862" s="40"/>
      <c r="E862" s="40"/>
      <c r="F862" s="40"/>
    </row>
    <row r="863" ht="15.75" customHeight="1">
      <c r="A863" s="40"/>
      <c r="B863" s="40"/>
      <c r="C863" s="40"/>
      <c r="D863" s="40"/>
      <c r="E863" s="40"/>
      <c r="F863" s="40"/>
    </row>
    <row r="864" ht="15.75" customHeight="1">
      <c r="A864" s="40"/>
      <c r="B864" s="40"/>
      <c r="C864" s="40"/>
      <c r="D864" s="40"/>
      <c r="E864" s="40"/>
      <c r="F864" s="40"/>
    </row>
    <row r="865" ht="15.75" customHeight="1">
      <c r="A865" s="40"/>
      <c r="B865" s="40"/>
      <c r="C865" s="40"/>
      <c r="D865" s="40"/>
      <c r="E865" s="40"/>
      <c r="F865" s="40"/>
    </row>
    <row r="866" ht="15.75" customHeight="1">
      <c r="A866" s="40"/>
      <c r="B866" s="40"/>
      <c r="C866" s="40"/>
      <c r="D866" s="40"/>
      <c r="E866" s="40"/>
      <c r="F866" s="40"/>
    </row>
    <row r="867" ht="15.75" customHeight="1">
      <c r="A867" s="40"/>
      <c r="B867" s="40"/>
      <c r="C867" s="40"/>
      <c r="D867" s="40"/>
      <c r="E867" s="40"/>
      <c r="F867" s="40"/>
    </row>
    <row r="868" ht="15.75" customHeight="1">
      <c r="A868" s="40"/>
      <c r="B868" s="40"/>
      <c r="C868" s="40"/>
      <c r="D868" s="40"/>
      <c r="E868" s="40"/>
      <c r="F868" s="40"/>
    </row>
    <row r="869" ht="15.75" customHeight="1">
      <c r="A869" s="40"/>
      <c r="B869" s="40"/>
      <c r="C869" s="40"/>
      <c r="D869" s="40"/>
      <c r="E869" s="40"/>
      <c r="F869" s="40"/>
    </row>
    <row r="870" ht="15.75" customHeight="1">
      <c r="A870" s="40"/>
      <c r="B870" s="40"/>
      <c r="C870" s="40"/>
      <c r="D870" s="40"/>
      <c r="E870" s="40"/>
      <c r="F870" s="40"/>
    </row>
    <row r="871" ht="15.75" customHeight="1">
      <c r="A871" s="40"/>
      <c r="B871" s="40"/>
      <c r="C871" s="40"/>
      <c r="D871" s="40"/>
      <c r="E871" s="40"/>
      <c r="F871" s="40"/>
    </row>
    <row r="872" ht="15.75" customHeight="1">
      <c r="A872" s="40"/>
      <c r="B872" s="40"/>
      <c r="C872" s="40"/>
      <c r="D872" s="40"/>
      <c r="E872" s="40"/>
      <c r="F872" s="40"/>
    </row>
    <row r="873" ht="15.75" customHeight="1">
      <c r="A873" s="40"/>
      <c r="B873" s="40"/>
      <c r="C873" s="40"/>
      <c r="D873" s="40"/>
      <c r="E873" s="40"/>
      <c r="F873" s="40"/>
    </row>
    <row r="874" ht="15.75" customHeight="1">
      <c r="A874" s="40"/>
      <c r="B874" s="40"/>
      <c r="C874" s="40"/>
      <c r="D874" s="40"/>
      <c r="E874" s="40"/>
      <c r="F874" s="40"/>
    </row>
    <row r="875" ht="15.75" customHeight="1">
      <c r="A875" s="40"/>
      <c r="B875" s="40"/>
      <c r="C875" s="40"/>
      <c r="D875" s="40"/>
      <c r="E875" s="40"/>
      <c r="F875" s="40"/>
    </row>
    <row r="876" ht="15.75" customHeight="1">
      <c r="A876" s="40"/>
      <c r="B876" s="40"/>
      <c r="C876" s="40"/>
      <c r="D876" s="40"/>
      <c r="E876" s="40"/>
      <c r="F876" s="40"/>
    </row>
    <row r="877" ht="15.75" customHeight="1">
      <c r="A877" s="40"/>
      <c r="B877" s="40"/>
      <c r="C877" s="40"/>
      <c r="D877" s="40"/>
      <c r="E877" s="40"/>
      <c r="F877" s="40"/>
    </row>
    <row r="878" ht="15.75" customHeight="1">
      <c r="A878" s="40"/>
      <c r="B878" s="40"/>
      <c r="C878" s="40"/>
      <c r="D878" s="40"/>
      <c r="E878" s="40"/>
      <c r="F878" s="40"/>
    </row>
    <row r="879" ht="15.75" customHeight="1">
      <c r="A879" s="40"/>
      <c r="B879" s="40"/>
      <c r="C879" s="40"/>
      <c r="D879" s="40"/>
      <c r="E879" s="40"/>
      <c r="F879" s="40"/>
    </row>
    <row r="880" ht="15.75" customHeight="1">
      <c r="A880" s="40"/>
      <c r="B880" s="40"/>
      <c r="C880" s="40"/>
      <c r="D880" s="40"/>
      <c r="E880" s="40"/>
      <c r="F880" s="40"/>
    </row>
    <row r="881" ht="15.75" customHeight="1">
      <c r="A881" s="40"/>
      <c r="B881" s="40"/>
      <c r="C881" s="40"/>
      <c r="D881" s="40"/>
      <c r="E881" s="40"/>
      <c r="F881" s="40"/>
    </row>
    <row r="882" ht="15.75" customHeight="1">
      <c r="A882" s="40"/>
      <c r="B882" s="40"/>
      <c r="C882" s="40"/>
      <c r="D882" s="40"/>
      <c r="E882" s="40"/>
      <c r="F882" s="40"/>
    </row>
    <row r="883" ht="15.75" customHeight="1">
      <c r="A883" s="40"/>
      <c r="B883" s="40"/>
      <c r="C883" s="40"/>
      <c r="D883" s="40"/>
      <c r="E883" s="40"/>
      <c r="F883" s="40"/>
    </row>
    <row r="884" ht="15.75" customHeight="1">
      <c r="A884" s="40"/>
      <c r="B884" s="40"/>
      <c r="C884" s="40"/>
      <c r="D884" s="40"/>
      <c r="E884" s="40"/>
      <c r="F884" s="40"/>
    </row>
    <row r="885" ht="15.75" customHeight="1">
      <c r="A885" s="40"/>
      <c r="B885" s="40"/>
      <c r="C885" s="40"/>
      <c r="D885" s="40"/>
      <c r="E885" s="40"/>
      <c r="F885" s="40"/>
    </row>
    <row r="886" ht="15.75" customHeight="1">
      <c r="A886" s="40"/>
      <c r="B886" s="40"/>
      <c r="C886" s="40"/>
      <c r="D886" s="40"/>
      <c r="E886" s="40"/>
      <c r="F886" s="40"/>
    </row>
    <row r="887" ht="15.75" customHeight="1">
      <c r="A887" s="40"/>
      <c r="B887" s="40"/>
      <c r="C887" s="40"/>
      <c r="D887" s="40"/>
      <c r="E887" s="40"/>
      <c r="F887" s="40"/>
    </row>
    <row r="888" ht="15.75" customHeight="1">
      <c r="A888" s="40"/>
      <c r="B888" s="40"/>
      <c r="C888" s="40"/>
      <c r="D888" s="40"/>
      <c r="E888" s="40"/>
      <c r="F888" s="40"/>
    </row>
    <row r="889" ht="15.75" customHeight="1">
      <c r="A889" s="40"/>
      <c r="B889" s="40"/>
      <c r="C889" s="40"/>
      <c r="D889" s="40"/>
      <c r="E889" s="40"/>
      <c r="F889" s="40"/>
    </row>
    <row r="890" ht="15.75" customHeight="1">
      <c r="A890" s="40"/>
      <c r="B890" s="40"/>
      <c r="C890" s="40"/>
      <c r="D890" s="40"/>
      <c r="E890" s="40"/>
      <c r="F890" s="40"/>
    </row>
    <row r="891" ht="15.75" customHeight="1">
      <c r="A891" s="40"/>
      <c r="B891" s="40"/>
      <c r="C891" s="40"/>
      <c r="D891" s="40"/>
      <c r="E891" s="40"/>
      <c r="F891" s="40"/>
    </row>
    <row r="892" ht="15.75" customHeight="1">
      <c r="A892" s="40"/>
      <c r="B892" s="40"/>
      <c r="C892" s="40"/>
      <c r="D892" s="40"/>
      <c r="E892" s="40"/>
      <c r="F892" s="40"/>
    </row>
    <row r="893" ht="15.75" customHeight="1">
      <c r="A893" s="40"/>
      <c r="B893" s="40"/>
      <c r="C893" s="40"/>
      <c r="D893" s="40"/>
      <c r="E893" s="40"/>
      <c r="F893" s="40"/>
    </row>
    <row r="894" ht="15.75" customHeight="1">
      <c r="A894" s="40"/>
      <c r="B894" s="40"/>
      <c r="C894" s="40"/>
      <c r="D894" s="40"/>
      <c r="E894" s="40"/>
      <c r="F894" s="40"/>
    </row>
    <row r="895" ht="15.75" customHeight="1">
      <c r="A895" s="40"/>
      <c r="B895" s="40"/>
      <c r="C895" s="40"/>
      <c r="D895" s="40"/>
      <c r="E895" s="40"/>
      <c r="F895" s="40"/>
    </row>
    <row r="896" ht="15.75" customHeight="1">
      <c r="A896" s="40"/>
      <c r="B896" s="40"/>
      <c r="C896" s="40"/>
      <c r="D896" s="40"/>
      <c r="E896" s="40"/>
      <c r="F896" s="40"/>
    </row>
    <row r="897" ht="15.75" customHeight="1">
      <c r="A897" s="40"/>
      <c r="B897" s="40"/>
      <c r="C897" s="40"/>
      <c r="D897" s="40"/>
      <c r="E897" s="40"/>
      <c r="F897" s="40"/>
    </row>
    <row r="898" ht="15.75" customHeight="1">
      <c r="A898" s="40"/>
      <c r="B898" s="40"/>
      <c r="C898" s="40"/>
      <c r="D898" s="40"/>
      <c r="E898" s="40"/>
      <c r="F898" s="40"/>
    </row>
    <row r="899" ht="15.75" customHeight="1">
      <c r="A899" s="40"/>
      <c r="B899" s="40"/>
      <c r="C899" s="40"/>
      <c r="D899" s="40"/>
      <c r="E899" s="40"/>
      <c r="F899" s="40"/>
    </row>
    <row r="900" ht="15.75" customHeight="1">
      <c r="A900" s="40"/>
      <c r="B900" s="40"/>
      <c r="C900" s="40"/>
      <c r="D900" s="40"/>
      <c r="E900" s="40"/>
      <c r="F900" s="40"/>
    </row>
    <row r="901" ht="15.75" customHeight="1">
      <c r="A901" s="40"/>
      <c r="B901" s="40"/>
      <c r="C901" s="40"/>
      <c r="D901" s="40"/>
      <c r="E901" s="40"/>
      <c r="F901" s="40"/>
    </row>
    <row r="902" ht="15.75" customHeight="1">
      <c r="A902" s="40"/>
      <c r="B902" s="40"/>
      <c r="C902" s="40"/>
      <c r="D902" s="40"/>
      <c r="E902" s="40"/>
      <c r="F902" s="40"/>
    </row>
    <row r="903" ht="15.75" customHeight="1">
      <c r="A903" s="40"/>
      <c r="B903" s="40"/>
      <c r="C903" s="40"/>
      <c r="D903" s="40"/>
      <c r="E903" s="40"/>
      <c r="F903" s="40"/>
    </row>
    <row r="904" ht="15.75" customHeight="1">
      <c r="A904" s="40"/>
      <c r="B904" s="40"/>
      <c r="C904" s="40"/>
      <c r="D904" s="40"/>
      <c r="E904" s="40"/>
      <c r="F904" s="40"/>
    </row>
    <row r="905" ht="15.75" customHeight="1">
      <c r="A905" s="40"/>
      <c r="B905" s="40"/>
      <c r="C905" s="40"/>
      <c r="D905" s="40"/>
      <c r="E905" s="40"/>
      <c r="F905" s="40"/>
    </row>
    <row r="906" ht="15.75" customHeight="1">
      <c r="A906" s="40"/>
      <c r="B906" s="40"/>
      <c r="C906" s="40"/>
      <c r="D906" s="40"/>
      <c r="E906" s="40"/>
      <c r="F906" s="40"/>
    </row>
    <row r="907" ht="15.75" customHeight="1">
      <c r="A907" s="40"/>
      <c r="B907" s="40"/>
      <c r="C907" s="40"/>
      <c r="D907" s="40"/>
      <c r="E907" s="40"/>
      <c r="F907" s="40"/>
    </row>
    <row r="908" ht="15.75" customHeight="1">
      <c r="A908" s="40"/>
      <c r="B908" s="40"/>
      <c r="C908" s="40"/>
      <c r="D908" s="40"/>
      <c r="E908" s="40"/>
      <c r="F908" s="40"/>
    </row>
    <row r="909" ht="15.75" customHeight="1">
      <c r="A909" s="40"/>
      <c r="B909" s="40"/>
      <c r="C909" s="40"/>
      <c r="D909" s="40"/>
      <c r="E909" s="40"/>
      <c r="F909" s="40"/>
    </row>
    <row r="910" ht="15.75" customHeight="1">
      <c r="A910" s="40"/>
      <c r="B910" s="40"/>
      <c r="C910" s="40"/>
      <c r="D910" s="40"/>
      <c r="E910" s="40"/>
      <c r="F910" s="40"/>
    </row>
    <row r="911" ht="15.75" customHeight="1">
      <c r="A911" s="40"/>
      <c r="B911" s="40"/>
      <c r="C911" s="40"/>
      <c r="D911" s="40"/>
      <c r="E911" s="40"/>
      <c r="F911" s="40"/>
    </row>
    <row r="912" ht="15.75" customHeight="1">
      <c r="A912" s="40"/>
      <c r="B912" s="40"/>
      <c r="C912" s="40"/>
      <c r="D912" s="40"/>
      <c r="E912" s="40"/>
      <c r="F912" s="40"/>
    </row>
    <row r="913" ht="15.75" customHeight="1">
      <c r="A913" s="40"/>
      <c r="B913" s="40"/>
      <c r="C913" s="40"/>
      <c r="D913" s="40"/>
      <c r="E913" s="40"/>
      <c r="F913" s="40"/>
    </row>
    <row r="914" ht="15.75" customHeight="1">
      <c r="A914" s="40"/>
      <c r="B914" s="40"/>
      <c r="C914" s="40"/>
      <c r="D914" s="40"/>
      <c r="E914" s="40"/>
      <c r="F914" s="40"/>
    </row>
    <row r="915" ht="15.75" customHeight="1">
      <c r="A915" s="40"/>
      <c r="B915" s="40"/>
      <c r="C915" s="40"/>
      <c r="D915" s="40"/>
      <c r="E915" s="40"/>
      <c r="F915" s="40"/>
    </row>
    <row r="916" ht="15.75" customHeight="1">
      <c r="A916" s="40"/>
      <c r="B916" s="40"/>
      <c r="C916" s="40"/>
      <c r="D916" s="40"/>
      <c r="E916" s="40"/>
      <c r="F916" s="40"/>
    </row>
    <row r="917" ht="15.75" customHeight="1">
      <c r="A917" s="40"/>
      <c r="B917" s="40"/>
      <c r="C917" s="40"/>
      <c r="D917" s="40"/>
      <c r="E917" s="40"/>
      <c r="F917" s="40"/>
    </row>
    <row r="918" ht="15.75" customHeight="1">
      <c r="A918" s="40"/>
      <c r="B918" s="40"/>
      <c r="C918" s="40"/>
      <c r="D918" s="40"/>
      <c r="E918" s="40"/>
      <c r="F918" s="40"/>
    </row>
    <row r="919" ht="15.75" customHeight="1">
      <c r="A919" s="40"/>
      <c r="B919" s="40"/>
      <c r="C919" s="40"/>
      <c r="D919" s="40"/>
      <c r="E919" s="40"/>
      <c r="F919" s="40"/>
    </row>
    <row r="920" ht="15.75" customHeight="1">
      <c r="A920" s="40"/>
      <c r="B920" s="40"/>
      <c r="C920" s="40"/>
      <c r="D920" s="40"/>
      <c r="E920" s="40"/>
      <c r="F920" s="40"/>
    </row>
    <row r="921" ht="15.75" customHeight="1">
      <c r="A921" s="40"/>
      <c r="B921" s="40"/>
      <c r="C921" s="40"/>
      <c r="D921" s="40"/>
      <c r="E921" s="40"/>
      <c r="F921" s="40"/>
    </row>
    <row r="922" ht="15.75" customHeight="1">
      <c r="A922" s="40"/>
      <c r="B922" s="40"/>
      <c r="C922" s="40"/>
      <c r="D922" s="40"/>
      <c r="E922" s="40"/>
      <c r="F922" s="40"/>
    </row>
    <row r="923" ht="15.75" customHeight="1">
      <c r="A923" s="40"/>
      <c r="B923" s="40"/>
      <c r="C923" s="40"/>
      <c r="D923" s="40"/>
      <c r="E923" s="40"/>
      <c r="F923" s="40"/>
    </row>
    <row r="924" ht="15.75" customHeight="1">
      <c r="A924" s="40"/>
      <c r="B924" s="40"/>
      <c r="C924" s="40"/>
      <c r="D924" s="40"/>
      <c r="E924" s="40"/>
      <c r="F924" s="40"/>
    </row>
    <row r="925" ht="15.75" customHeight="1">
      <c r="A925" s="40"/>
      <c r="B925" s="40"/>
      <c r="C925" s="40"/>
      <c r="D925" s="40"/>
      <c r="E925" s="40"/>
      <c r="F925" s="40"/>
    </row>
    <row r="926" ht="15.75" customHeight="1">
      <c r="A926" s="40"/>
      <c r="B926" s="40"/>
      <c r="C926" s="40"/>
      <c r="D926" s="40"/>
      <c r="E926" s="40"/>
      <c r="F926" s="40"/>
    </row>
    <row r="927" ht="15.75" customHeight="1">
      <c r="A927" s="40"/>
      <c r="B927" s="40"/>
      <c r="C927" s="40"/>
      <c r="D927" s="40"/>
      <c r="E927" s="40"/>
      <c r="F927" s="40"/>
    </row>
    <row r="928" ht="15.75" customHeight="1">
      <c r="A928" s="40"/>
      <c r="B928" s="40"/>
      <c r="C928" s="40"/>
      <c r="D928" s="40"/>
      <c r="E928" s="40"/>
      <c r="F928" s="40"/>
    </row>
    <row r="929" ht="15.75" customHeight="1">
      <c r="A929" s="40"/>
      <c r="B929" s="40"/>
      <c r="C929" s="40"/>
      <c r="D929" s="40"/>
      <c r="E929" s="40"/>
      <c r="F929" s="40"/>
    </row>
    <row r="930" ht="15.75" customHeight="1">
      <c r="A930" s="40"/>
      <c r="B930" s="40"/>
      <c r="C930" s="40"/>
      <c r="D930" s="40"/>
      <c r="E930" s="40"/>
      <c r="F930" s="40"/>
    </row>
    <row r="931" ht="15.75" customHeight="1">
      <c r="A931" s="40"/>
      <c r="B931" s="40"/>
      <c r="C931" s="40"/>
      <c r="D931" s="40"/>
      <c r="E931" s="40"/>
      <c r="F931" s="40"/>
    </row>
    <row r="932" ht="15.75" customHeight="1">
      <c r="A932" s="40"/>
      <c r="B932" s="40"/>
      <c r="C932" s="40"/>
      <c r="D932" s="40"/>
      <c r="E932" s="40"/>
      <c r="F932" s="40"/>
    </row>
    <row r="933" ht="15.75" customHeight="1">
      <c r="A933" s="40"/>
      <c r="B933" s="40"/>
      <c r="C933" s="40"/>
      <c r="D933" s="40"/>
      <c r="E933" s="40"/>
      <c r="F933" s="40"/>
    </row>
    <row r="934" ht="15.75" customHeight="1">
      <c r="A934" s="40"/>
      <c r="B934" s="40"/>
      <c r="C934" s="40"/>
      <c r="D934" s="40"/>
      <c r="E934" s="40"/>
      <c r="F934" s="40"/>
    </row>
    <row r="935" ht="15.75" customHeight="1">
      <c r="A935" s="40"/>
      <c r="B935" s="40"/>
      <c r="C935" s="40"/>
      <c r="D935" s="40"/>
      <c r="E935" s="40"/>
      <c r="F935" s="40"/>
    </row>
    <row r="936" ht="15.75" customHeight="1">
      <c r="A936" s="40"/>
      <c r="B936" s="40"/>
      <c r="C936" s="40"/>
      <c r="D936" s="40"/>
      <c r="E936" s="40"/>
      <c r="F936" s="40"/>
    </row>
    <row r="937" ht="15.75" customHeight="1">
      <c r="A937" s="40"/>
      <c r="B937" s="40"/>
      <c r="C937" s="40"/>
      <c r="D937" s="40"/>
      <c r="E937" s="40"/>
      <c r="F937" s="40"/>
    </row>
    <row r="938" ht="15.75" customHeight="1">
      <c r="A938" s="40"/>
      <c r="B938" s="40"/>
      <c r="C938" s="40"/>
      <c r="D938" s="40"/>
      <c r="E938" s="40"/>
      <c r="F938" s="40"/>
    </row>
    <row r="939" ht="15.75" customHeight="1">
      <c r="A939" s="40"/>
      <c r="B939" s="40"/>
      <c r="C939" s="40"/>
      <c r="D939" s="40"/>
      <c r="E939" s="40"/>
      <c r="F939" s="40"/>
    </row>
    <row r="940" ht="15.75" customHeight="1">
      <c r="A940" s="40"/>
      <c r="B940" s="40"/>
      <c r="C940" s="40"/>
      <c r="D940" s="40"/>
      <c r="E940" s="40"/>
      <c r="F940" s="40"/>
    </row>
    <row r="941" ht="15.75" customHeight="1">
      <c r="A941" s="40"/>
      <c r="B941" s="40"/>
      <c r="C941" s="40"/>
      <c r="D941" s="40"/>
      <c r="E941" s="40"/>
      <c r="F941" s="40"/>
    </row>
    <row r="942" ht="15.75" customHeight="1">
      <c r="A942" s="40"/>
      <c r="B942" s="40"/>
      <c r="C942" s="40"/>
      <c r="D942" s="40"/>
      <c r="E942" s="40"/>
      <c r="F942" s="40"/>
    </row>
    <row r="943" ht="15.75" customHeight="1">
      <c r="A943" s="40"/>
      <c r="B943" s="40"/>
      <c r="C943" s="40"/>
      <c r="D943" s="40"/>
      <c r="E943" s="40"/>
      <c r="F943" s="40"/>
    </row>
    <row r="944" ht="15.75" customHeight="1">
      <c r="A944" s="40"/>
      <c r="B944" s="40"/>
      <c r="C944" s="40"/>
      <c r="D944" s="40"/>
      <c r="E944" s="40"/>
      <c r="F944" s="40"/>
    </row>
    <row r="945" ht="15.75" customHeight="1">
      <c r="A945" s="40"/>
      <c r="B945" s="40"/>
      <c r="C945" s="40"/>
      <c r="D945" s="40"/>
      <c r="E945" s="40"/>
      <c r="F945" s="40"/>
    </row>
    <row r="946" ht="15.75" customHeight="1">
      <c r="A946" s="40"/>
      <c r="B946" s="40"/>
      <c r="C946" s="40"/>
      <c r="D946" s="40"/>
      <c r="E946" s="40"/>
      <c r="F946" s="40"/>
    </row>
    <row r="947" ht="15.75" customHeight="1">
      <c r="A947" s="40"/>
      <c r="B947" s="40"/>
      <c r="C947" s="40"/>
      <c r="D947" s="40"/>
      <c r="E947" s="40"/>
      <c r="F947" s="40"/>
    </row>
    <row r="948" ht="15.75" customHeight="1">
      <c r="A948" s="40"/>
      <c r="B948" s="40"/>
      <c r="C948" s="40"/>
      <c r="D948" s="40"/>
      <c r="E948" s="40"/>
      <c r="F948" s="40"/>
    </row>
    <row r="949" ht="15.75" customHeight="1">
      <c r="A949" s="40"/>
      <c r="B949" s="40"/>
      <c r="C949" s="40"/>
      <c r="D949" s="40"/>
      <c r="E949" s="40"/>
      <c r="F949" s="40"/>
    </row>
    <row r="950" ht="15.75" customHeight="1">
      <c r="A950" s="40"/>
      <c r="B950" s="40"/>
      <c r="C950" s="40"/>
      <c r="D950" s="40"/>
      <c r="E950" s="40"/>
      <c r="F950" s="40"/>
    </row>
    <row r="951" ht="15.75" customHeight="1">
      <c r="A951" s="40"/>
      <c r="B951" s="40"/>
      <c r="C951" s="40"/>
      <c r="D951" s="40"/>
      <c r="E951" s="40"/>
      <c r="F951" s="40"/>
    </row>
    <row r="952" ht="15.75" customHeight="1">
      <c r="A952" s="40"/>
      <c r="B952" s="40"/>
      <c r="C952" s="40"/>
      <c r="D952" s="40"/>
      <c r="E952" s="40"/>
      <c r="F952" s="40"/>
    </row>
    <row r="953" ht="15.75" customHeight="1">
      <c r="A953" s="40"/>
      <c r="B953" s="40"/>
      <c r="C953" s="40"/>
      <c r="D953" s="40"/>
      <c r="E953" s="40"/>
      <c r="F953" s="40"/>
    </row>
    <row r="954" ht="15.75" customHeight="1">
      <c r="A954" s="40"/>
      <c r="B954" s="40"/>
      <c r="C954" s="40"/>
      <c r="D954" s="40"/>
      <c r="E954" s="40"/>
      <c r="F954" s="40"/>
    </row>
    <row r="955" ht="15.75" customHeight="1">
      <c r="A955" s="40"/>
      <c r="B955" s="40"/>
      <c r="C955" s="40"/>
      <c r="D955" s="40"/>
      <c r="E955" s="40"/>
      <c r="F955" s="40"/>
    </row>
    <row r="956" ht="15.75" customHeight="1">
      <c r="A956" s="40"/>
      <c r="B956" s="40"/>
      <c r="C956" s="40"/>
      <c r="D956" s="40"/>
      <c r="E956" s="40"/>
      <c r="F956" s="40"/>
    </row>
    <row r="957" ht="15.75" customHeight="1">
      <c r="A957" s="40"/>
      <c r="B957" s="40"/>
      <c r="C957" s="40"/>
      <c r="D957" s="40"/>
      <c r="E957" s="40"/>
      <c r="F957" s="40"/>
    </row>
    <row r="958" ht="15.75" customHeight="1">
      <c r="A958" s="40"/>
      <c r="B958" s="40"/>
      <c r="C958" s="40"/>
      <c r="D958" s="40"/>
      <c r="E958" s="40"/>
      <c r="F958" s="40"/>
    </row>
    <row r="959" ht="15.75" customHeight="1">
      <c r="A959" s="40"/>
      <c r="B959" s="40"/>
      <c r="C959" s="40"/>
      <c r="D959" s="40"/>
      <c r="E959" s="40"/>
      <c r="F959" s="40"/>
    </row>
    <row r="960" ht="15.75" customHeight="1">
      <c r="A960" s="40"/>
      <c r="B960" s="40"/>
      <c r="C960" s="40"/>
      <c r="D960" s="40"/>
      <c r="E960" s="40"/>
      <c r="F960" s="40"/>
    </row>
    <row r="961" ht="15.75" customHeight="1">
      <c r="A961" s="40"/>
      <c r="B961" s="40"/>
      <c r="C961" s="40"/>
      <c r="D961" s="40"/>
      <c r="E961" s="40"/>
      <c r="F961" s="40"/>
    </row>
    <row r="962" ht="15.75" customHeight="1">
      <c r="A962" s="40"/>
      <c r="B962" s="40"/>
      <c r="C962" s="40"/>
      <c r="D962" s="40"/>
      <c r="E962" s="40"/>
      <c r="F962" s="40"/>
    </row>
    <row r="963" ht="15.75" customHeight="1">
      <c r="A963" s="40"/>
      <c r="B963" s="40"/>
      <c r="C963" s="40"/>
      <c r="D963" s="40"/>
      <c r="E963" s="40"/>
      <c r="F963" s="40"/>
    </row>
    <row r="964" ht="15.75" customHeight="1">
      <c r="A964" s="40"/>
      <c r="B964" s="40"/>
      <c r="C964" s="40"/>
      <c r="D964" s="40"/>
      <c r="E964" s="40"/>
      <c r="F964" s="40"/>
    </row>
    <row r="965" ht="15.75" customHeight="1">
      <c r="A965" s="40"/>
      <c r="B965" s="40"/>
      <c r="C965" s="40"/>
      <c r="D965" s="40"/>
      <c r="E965" s="40"/>
      <c r="F965" s="40"/>
    </row>
    <row r="966" ht="15.75" customHeight="1">
      <c r="A966" s="40"/>
      <c r="B966" s="40"/>
      <c r="C966" s="40"/>
      <c r="D966" s="40"/>
      <c r="E966" s="40"/>
      <c r="F966" s="40"/>
    </row>
    <row r="967" ht="15.75" customHeight="1">
      <c r="A967" s="40"/>
      <c r="B967" s="40"/>
      <c r="C967" s="40"/>
      <c r="D967" s="40"/>
      <c r="E967" s="40"/>
      <c r="F967" s="40"/>
    </row>
    <row r="968" ht="15.75" customHeight="1">
      <c r="A968" s="40"/>
      <c r="B968" s="40"/>
      <c r="C968" s="40"/>
      <c r="D968" s="40"/>
      <c r="E968" s="40"/>
      <c r="F968" s="40"/>
    </row>
    <row r="969" ht="15.75" customHeight="1">
      <c r="A969" s="40"/>
      <c r="B969" s="40"/>
      <c r="C969" s="40"/>
      <c r="D969" s="40"/>
      <c r="E969" s="40"/>
      <c r="F969" s="40"/>
    </row>
    <row r="970" ht="15.75" customHeight="1">
      <c r="A970" s="40"/>
      <c r="B970" s="40"/>
      <c r="C970" s="40"/>
      <c r="D970" s="40"/>
      <c r="E970" s="40"/>
      <c r="F970" s="40"/>
    </row>
    <row r="971" ht="15.75" customHeight="1">
      <c r="A971" s="40"/>
      <c r="B971" s="40"/>
      <c r="C971" s="40"/>
      <c r="D971" s="40"/>
      <c r="E971" s="40"/>
      <c r="F971" s="40"/>
    </row>
    <row r="972" ht="15.75" customHeight="1">
      <c r="A972" s="40"/>
      <c r="B972" s="40"/>
      <c r="C972" s="40"/>
      <c r="D972" s="40"/>
      <c r="E972" s="40"/>
      <c r="F972" s="40"/>
    </row>
    <row r="973" ht="15.75" customHeight="1">
      <c r="A973" s="40"/>
      <c r="B973" s="40"/>
      <c r="C973" s="40"/>
      <c r="D973" s="40"/>
      <c r="E973" s="40"/>
      <c r="F973" s="40"/>
    </row>
    <row r="974" ht="15.75" customHeight="1">
      <c r="A974" s="40"/>
      <c r="B974" s="40"/>
      <c r="C974" s="40"/>
      <c r="D974" s="40"/>
      <c r="E974" s="40"/>
      <c r="F974" s="40"/>
    </row>
    <row r="975" ht="15.75" customHeight="1">
      <c r="A975" s="40"/>
      <c r="B975" s="40"/>
      <c r="C975" s="40"/>
      <c r="D975" s="40"/>
      <c r="E975" s="40"/>
      <c r="F975" s="40"/>
    </row>
    <row r="976" ht="15.75" customHeight="1">
      <c r="A976" s="40"/>
      <c r="B976" s="40"/>
      <c r="C976" s="40"/>
      <c r="D976" s="40"/>
      <c r="E976" s="40"/>
      <c r="F976" s="40"/>
    </row>
    <row r="977" ht="15.75" customHeight="1">
      <c r="A977" s="40"/>
      <c r="B977" s="40"/>
      <c r="C977" s="40"/>
      <c r="D977" s="40"/>
      <c r="E977" s="40"/>
      <c r="F977" s="40"/>
    </row>
    <row r="978" ht="15.75" customHeight="1">
      <c r="A978" s="40"/>
      <c r="B978" s="40"/>
      <c r="C978" s="40"/>
      <c r="D978" s="40"/>
      <c r="E978" s="40"/>
      <c r="F978" s="40"/>
    </row>
    <row r="979" ht="15.75" customHeight="1">
      <c r="A979" s="40"/>
      <c r="B979" s="40"/>
      <c r="C979" s="40"/>
      <c r="D979" s="40"/>
      <c r="E979" s="40"/>
      <c r="F979" s="40"/>
    </row>
    <row r="980" ht="15.75" customHeight="1">
      <c r="A980" s="40"/>
      <c r="B980" s="40"/>
      <c r="C980" s="40"/>
      <c r="D980" s="40"/>
      <c r="E980" s="40"/>
      <c r="F980" s="40"/>
    </row>
    <row r="981" ht="15.75" customHeight="1">
      <c r="A981" s="40"/>
      <c r="B981" s="40"/>
      <c r="C981" s="40"/>
      <c r="D981" s="40"/>
      <c r="E981" s="40"/>
      <c r="F981" s="40"/>
    </row>
    <row r="982" ht="15.75" customHeight="1">
      <c r="A982" s="40"/>
      <c r="B982" s="40"/>
      <c r="C982" s="40"/>
      <c r="D982" s="40"/>
      <c r="E982" s="40"/>
      <c r="F982" s="40"/>
    </row>
    <row r="983" ht="15.75" customHeight="1">
      <c r="A983" s="40"/>
      <c r="B983" s="40"/>
      <c r="C983" s="40"/>
      <c r="D983" s="40"/>
      <c r="E983" s="40"/>
      <c r="F983" s="40"/>
    </row>
    <row r="984" ht="15.75" customHeight="1">
      <c r="A984" s="40"/>
      <c r="B984" s="40"/>
      <c r="C984" s="40"/>
      <c r="D984" s="40"/>
      <c r="E984" s="40"/>
      <c r="F984" s="40"/>
    </row>
    <row r="985" ht="15.75" customHeight="1">
      <c r="A985" s="40"/>
      <c r="B985" s="40"/>
      <c r="C985" s="40"/>
      <c r="D985" s="40"/>
      <c r="E985" s="40"/>
      <c r="F985" s="40"/>
    </row>
    <row r="986" ht="15.75" customHeight="1">
      <c r="A986" s="40"/>
      <c r="B986" s="40"/>
      <c r="C986" s="40"/>
      <c r="D986" s="40"/>
      <c r="E986" s="40"/>
      <c r="F986" s="40"/>
    </row>
    <row r="987" ht="15.75" customHeight="1">
      <c r="A987" s="40"/>
      <c r="B987" s="40"/>
      <c r="C987" s="40"/>
      <c r="D987" s="40"/>
      <c r="E987" s="40"/>
      <c r="F987" s="40"/>
    </row>
    <row r="988" ht="15.75" customHeight="1">
      <c r="A988" s="40"/>
      <c r="B988" s="40"/>
      <c r="C988" s="40"/>
      <c r="D988" s="40"/>
      <c r="E988" s="40"/>
      <c r="F988" s="40"/>
    </row>
    <row r="989" ht="15.75" customHeight="1">
      <c r="A989" s="40"/>
      <c r="B989" s="40"/>
      <c r="C989" s="40"/>
      <c r="D989" s="40"/>
      <c r="E989" s="40"/>
      <c r="F989" s="40"/>
    </row>
    <row r="990" ht="15.75" customHeight="1">
      <c r="A990" s="40"/>
      <c r="B990" s="40"/>
      <c r="C990" s="40"/>
      <c r="D990" s="40"/>
      <c r="E990" s="40"/>
      <c r="F990" s="40"/>
    </row>
    <row r="991" ht="15.75" customHeight="1">
      <c r="A991" s="40"/>
      <c r="B991" s="40"/>
      <c r="C991" s="40"/>
      <c r="D991" s="40"/>
      <c r="E991" s="40"/>
      <c r="F991" s="40"/>
    </row>
    <row r="992" ht="15.75" customHeight="1">
      <c r="A992" s="40"/>
      <c r="B992" s="40"/>
      <c r="C992" s="40"/>
      <c r="D992" s="40"/>
      <c r="E992" s="40"/>
      <c r="F992" s="40"/>
    </row>
    <row r="993" ht="15.75" customHeight="1">
      <c r="A993" s="40"/>
      <c r="B993" s="40"/>
      <c r="C993" s="40"/>
      <c r="D993" s="40"/>
      <c r="E993" s="40"/>
      <c r="F993" s="40"/>
    </row>
    <row r="994" ht="15.75" customHeight="1">
      <c r="A994" s="40"/>
      <c r="B994" s="40"/>
      <c r="C994" s="40"/>
      <c r="D994" s="40"/>
      <c r="E994" s="40"/>
      <c r="F994" s="40"/>
    </row>
    <row r="995" ht="15.75" customHeight="1">
      <c r="A995" s="40"/>
      <c r="B995" s="40"/>
      <c r="C995" s="40"/>
      <c r="D995" s="40"/>
      <c r="E995" s="40"/>
      <c r="F995" s="40"/>
    </row>
    <row r="996" ht="15.75" customHeight="1">
      <c r="A996" s="40"/>
      <c r="B996" s="40"/>
      <c r="C996" s="40"/>
      <c r="D996" s="40"/>
      <c r="E996" s="40"/>
      <c r="F996" s="40"/>
    </row>
    <row r="997" ht="15.75" customHeight="1">
      <c r="A997" s="40"/>
      <c r="B997" s="40"/>
      <c r="C997" s="40"/>
      <c r="D997" s="40"/>
      <c r="E997" s="40"/>
      <c r="F997" s="40"/>
    </row>
    <row r="998" ht="15.75" customHeight="1">
      <c r="A998" s="40"/>
      <c r="B998" s="40"/>
      <c r="C998" s="40"/>
      <c r="D998" s="40"/>
      <c r="E998" s="40"/>
      <c r="F998" s="40"/>
    </row>
    <row r="999" ht="15.75" customHeight="1">
      <c r="A999" s="40"/>
      <c r="B999" s="40"/>
      <c r="C999" s="40"/>
      <c r="D999" s="40"/>
      <c r="E999" s="40"/>
      <c r="F999" s="40"/>
    </row>
    <row r="1000" ht="15.75" customHeight="1">
      <c r="A1000" s="40"/>
      <c r="B1000" s="40"/>
      <c r="C1000" s="40"/>
      <c r="D1000" s="40"/>
      <c r="E1000" s="40"/>
      <c r="F1000" s="40"/>
    </row>
  </sheetData>
  <mergeCells count="7">
    <mergeCell ref="A1:B5"/>
    <mergeCell ref="C1:F1"/>
    <mergeCell ref="D2:F2"/>
    <mergeCell ref="D3:F3"/>
    <mergeCell ref="D4:F4"/>
    <mergeCell ref="D5:F5"/>
    <mergeCell ref="A7:F7"/>
  </mergeCells>
  <conditionalFormatting sqref="A10:F1000">
    <cfRule type="expression" dxfId="0" priority="1">
      <formula>AND(ISODD(ROW()), NOT(ISBLANK($A10)), ISERROR(SEARCH("Total de", $A10)))</formula>
    </cfRule>
  </conditionalFormatting>
  <conditionalFormatting sqref="A10:F1000">
    <cfRule type="expression" dxfId="1" priority="2">
      <formula>$A10="Total de Materiais"</formula>
    </cfRule>
  </conditionalFormatting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9.0" topLeftCell="G10" activePane="bottomRight" state="frozen"/>
      <selection activeCell="G1" sqref="G1" pane="topRight"/>
      <selection activeCell="A10" sqref="A10" pane="bottomLeft"/>
      <selection activeCell="G10" sqref="G10" pane="bottomRight"/>
    </sheetView>
  </sheetViews>
  <sheetFormatPr customHeight="1" defaultColWidth="12.63" defaultRowHeight="15.0"/>
  <cols>
    <col customWidth="1" min="1" max="1" width="19.38"/>
    <col customWidth="1" min="2" max="2" width="33.38"/>
    <col customWidth="1" min="3" max="3" width="21.63"/>
    <col customWidth="1" min="4" max="4" width="12.63"/>
    <col customWidth="1" min="5" max="5" width="13.25"/>
    <col customWidth="1" min="6" max="6" width="17.75"/>
    <col customWidth="1" min="7" max="7" width="15.88"/>
    <col customWidth="1" min="8" max="8" width="17.38"/>
    <col customWidth="1" min="9" max="9" width="15.88"/>
  </cols>
  <sheetData>
    <row r="1" ht="78.0" customHeight="1">
      <c r="A1" s="1"/>
      <c r="C1" s="2" t="s">
        <v>16</v>
      </c>
      <c r="G1" s="23"/>
      <c r="H1" s="23"/>
      <c r="I1" s="23"/>
    </row>
    <row r="2">
      <c r="C2" s="3" t="s">
        <v>1</v>
      </c>
      <c r="D2" s="4" t="str">
        <f>DETALHADO!D2</f>
        <v>Sr. Fulano da Silva</v>
      </c>
      <c r="G2" s="24"/>
      <c r="H2" s="24"/>
      <c r="I2" s="24"/>
    </row>
    <row r="3">
      <c r="C3" s="3" t="s">
        <v>2</v>
      </c>
      <c r="D3" s="4" t="str">
        <f>DETALHADO!D3</f>
        <v>Resindencial da Acácias</v>
      </c>
      <c r="G3" s="24"/>
      <c r="H3" s="24"/>
      <c r="I3" s="24"/>
    </row>
    <row r="4">
      <c r="C4" s="3" t="s">
        <v>3</v>
      </c>
      <c r="D4" s="5">
        <f>DETALHADO!D4</f>
        <v>46056</v>
      </c>
      <c r="G4" s="24"/>
      <c r="H4" s="24"/>
      <c r="I4" s="24"/>
    </row>
    <row r="5">
      <c r="A5" s="6"/>
      <c r="B5" s="6"/>
      <c r="C5" s="7" t="s">
        <v>4</v>
      </c>
      <c r="D5" s="8" t="str">
        <f>DETALHADO!D5</f>
        <v>OBRA-2024-089</v>
      </c>
      <c r="E5" s="6"/>
      <c r="F5" s="6"/>
      <c r="G5" s="24"/>
      <c r="H5" s="24"/>
      <c r="I5" s="24"/>
    </row>
    <row r="6" ht="15.75" customHeight="1">
      <c r="A6" s="9"/>
      <c r="B6" s="9"/>
      <c r="C6" s="9"/>
      <c r="D6" s="9"/>
      <c r="E6" s="9"/>
      <c r="F6" s="9"/>
      <c r="G6" s="9"/>
      <c r="H6" s="10"/>
      <c r="I6" s="10"/>
    </row>
    <row r="7">
      <c r="A7" s="25" t="s">
        <v>17</v>
      </c>
      <c r="G7" s="25"/>
      <c r="H7" s="25"/>
      <c r="I7" s="25"/>
    </row>
    <row r="8" ht="15.75" customHeight="1">
      <c r="A8" s="9"/>
      <c r="B8" s="9"/>
      <c r="C8" s="9"/>
      <c r="D8" s="9"/>
      <c r="E8" s="9"/>
      <c r="F8" s="9"/>
      <c r="G8" s="9"/>
    </row>
    <row r="9" ht="34.5" customHeight="1">
      <c r="A9" s="26" t="s">
        <v>10</v>
      </c>
      <c r="B9" s="26" t="s">
        <v>18</v>
      </c>
      <c r="C9" s="26" t="s">
        <v>12</v>
      </c>
      <c r="D9" s="26" t="s">
        <v>13</v>
      </c>
      <c r="E9" s="26" t="s">
        <v>14</v>
      </c>
      <c r="F9" s="27" t="s">
        <v>15</v>
      </c>
    </row>
    <row r="10" ht="15.75" customHeight="1">
      <c r="A10" s="29" t="str">
        <f>IFERROR(__xludf.DUMMYFUNCTION("LET(
  dados, QUERY(DETALHADO!A11:K999, ""SELECT A, B, C, D, G, H WHERE G &gt; 0 AND A IS NOT NULL AND NOT A CONTAINS 'Total'"", 0),
  safe_dados, IFERROR(dados, {""Nenhum item"","""","""","""","""",""""}),
  total, SUM(INDEX(safe_dados,,6)),
  VSTACK(safe_d"&amp;"ados, HSTACK(""Total de Mão de Obra"","""","""","""","""", TEXT(total, ""R$ #.##0,00"")))
)"),"SERV-0001")</f>
        <v>SERV-0001</v>
      </c>
      <c r="B10" s="29" t="str">
        <f>IFERROR(__xludf.DUMMYFUNCTION("""COMPUTED_VALUE"""),"Instalação elétrica quarto")</f>
        <v>Instalação elétrica quarto</v>
      </c>
      <c r="C10" s="30">
        <f>IFERROR(__xludf.DUMMYFUNCTION("""COMPUTED_VALUE"""),10.0)</f>
        <v>10</v>
      </c>
      <c r="D10" s="31" t="str">
        <f>IFERROR(__xludf.DUMMYFUNCTION("""COMPUTED_VALUE"""),"m²")</f>
        <v>m²</v>
      </c>
      <c r="E10" s="32">
        <f>IFERROR(__xludf.DUMMYFUNCTION("""COMPUTED_VALUE"""),150.0)</f>
        <v>150</v>
      </c>
      <c r="F10" s="33">
        <f>IFERROR(__xludf.DUMMYFUNCTION("""COMPUTED_VALUE"""),1500.0)</f>
        <v>1500</v>
      </c>
    </row>
    <row r="11" ht="15.75" customHeight="1">
      <c r="A11" s="35" t="str">
        <f>IFERROR(__xludf.DUMMYFUNCTION("""COMPUTED_VALUE"""),"Total de Mão de Obra")</f>
        <v>Total de Mão de Obra</v>
      </c>
      <c r="B11" s="35" t="str">
        <f>IFERROR(__xludf.DUMMYFUNCTION("""COMPUTED_VALUE"""),"")</f>
        <v/>
      </c>
      <c r="C11" s="35" t="str">
        <f>IFERROR(__xludf.DUMMYFUNCTION("""COMPUTED_VALUE"""),"")</f>
        <v/>
      </c>
      <c r="D11" s="36" t="str">
        <f>IFERROR(__xludf.DUMMYFUNCTION("""COMPUTED_VALUE"""),"")</f>
        <v/>
      </c>
      <c r="E11" s="37" t="str">
        <f>IFERROR(__xludf.DUMMYFUNCTION("""COMPUTED_VALUE"""),"")</f>
        <v/>
      </c>
      <c r="F11" s="38" t="str">
        <f>IFERROR(__xludf.DUMMYFUNCTION("""COMPUTED_VALUE"""),"R$ 1.500,000")</f>
        <v>R$ 1.500,000</v>
      </c>
    </row>
    <row r="12" ht="15.75" customHeight="1">
      <c r="A12" s="35"/>
      <c r="B12" s="35"/>
      <c r="C12" s="35"/>
      <c r="D12" s="36"/>
      <c r="E12" s="37"/>
      <c r="F12" s="38"/>
    </row>
    <row r="13" ht="15.75" customHeight="1">
      <c r="A13" s="35"/>
      <c r="B13" s="35"/>
      <c r="C13" s="35"/>
      <c r="D13" s="36"/>
      <c r="E13" s="37"/>
      <c r="F13" s="38"/>
    </row>
    <row r="14" ht="15.75" customHeight="1">
      <c r="A14" s="35"/>
      <c r="B14" s="35"/>
      <c r="C14" s="35"/>
      <c r="D14" s="36"/>
      <c r="E14" s="37"/>
      <c r="F14" s="38"/>
    </row>
    <row r="15" ht="15.75" customHeight="1">
      <c r="A15" s="35"/>
      <c r="B15" s="35"/>
      <c r="C15" s="35"/>
      <c r="D15" s="36"/>
      <c r="E15" s="37"/>
      <c r="F15" s="38"/>
    </row>
    <row r="16" ht="15.75" customHeight="1">
      <c r="A16" s="35"/>
      <c r="B16" s="35"/>
      <c r="C16" s="35"/>
      <c r="D16" s="36"/>
      <c r="E16" s="37"/>
      <c r="F16" s="38"/>
    </row>
    <row r="17" ht="15.75" customHeight="1">
      <c r="A17" s="35"/>
      <c r="B17" s="35"/>
      <c r="C17" s="35"/>
      <c r="D17" s="36"/>
      <c r="E17" s="37"/>
      <c r="F17" s="38"/>
    </row>
    <row r="18" ht="15.75" customHeight="1">
      <c r="A18" s="35"/>
      <c r="B18" s="35"/>
      <c r="C18" s="35"/>
      <c r="D18" s="36"/>
      <c r="E18" s="37"/>
      <c r="F18" s="38"/>
    </row>
    <row r="19" ht="15.75" customHeight="1">
      <c r="A19" s="35"/>
      <c r="B19" s="35"/>
      <c r="C19" s="35"/>
      <c r="D19" s="36"/>
      <c r="E19" s="37"/>
      <c r="F19" s="38"/>
    </row>
    <row r="20" ht="15.75" customHeight="1">
      <c r="A20" s="35"/>
      <c r="B20" s="35"/>
      <c r="C20" s="35"/>
      <c r="D20" s="36"/>
      <c r="E20" s="37"/>
      <c r="F20" s="38"/>
    </row>
    <row r="21" ht="15.75" customHeight="1">
      <c r="A21" s="35"/>
      <c r="B21" s="35"/>
      <c r="C21" s="35"/>
      <c r="D21" s="36"/>
      <c r="E21" s="37"/>
      <c r="F21" s="38"/>
    </row>
    <row r="22" ht="15.75" customHeight="1">
      <c r="A22" s="35"/>
      <c r="B22" s="35"/>
      <c r="C22" s="35"/>
      <c r="D22" s="36"/>
      <c r="E22" s="37"/>
      <c r="F22" s="38"/>
    </row>
    <row r="23" ht="15.75" customHeight="1">
      <c r="A23" s="35"/>
      <c r="B23" s="35"/>
      <c r="C23" s="35"/>
      <c r="D23" s="36"/>
      <c r="E23" s="37"/>
      <c r="F23" s="38"/>
    </row>
    <row r="24" ht="15.75" customHeight="1">
      <c r="A24" s="35"/>
      <c r="B24" s="35"/>
      <c r="C24" s="35"/>
      <c r="D24" s="36"/>
      <c r="E24" s="37"/>
      <c r="F24" s="38"/>
    </row>
    <row r="25" ht="15.75" customHeight="1">
      <c r="A25" s="35"/>
      <c r="B25" s="35"/>
      <c r="C25" s="35"/>
      <c r="D25" s="36"/>
      <c r="E25" s="37"/>
      <c r="F25" s="38"/>
    </row>
    <row r="26" ht="15.75" customHeight="1">
      <c r="A26" s="35"/>
      <c r="B26" s="35"/>
      <c r="C26" s="35"/>
      <c r="D26" s="36"/>
      <c r="E26" s="37"/>
      <c r="F26" s="38"/>
    </row>
    <row r="27" ht="15.75" customHeight="1">
      <c r="A27" s="35"/>
      <c r="B27" s="35"/>
      <c r="C27" s="35"/>
      <c r="D27" s="36"/>
      <c r="E27" s="37"/>
      <c r="F27" s="38"/>
    </row>
    <row r="28" ht="15.75" customHeight="1">
      <c r="A28" s="35"/>
      <c r="B28" s="35"/>
      <c r="C28" s="35"/>
      <c r="D28" s="36"/>
      <c r="E28" s="37"/>
      <c r="F28" s="38"/>
    </row>
    <row r="29" ht="15.75" customHeight="1">
      <c r="A29" s="35"/>
      <c r="B29" s="35"/>
      <c r="C29" s="35"/>
      <c r="D29" s="36"/>
      <c r="E29" s="37"/>
      <c r="F29" s="38"/>
    </row>
    <row r="30" ht="15.75" customHeight="1">
      <c r="A30" s="35"/>
      <c r="B30" s="35"/>
      <c r="C30" s="35"/>
      <c r="D30" s="36"/>
      <c r="E30" s="37"/>
      <c r="F30" s="38"/>
    </row>
    <row r="31" ht="15.75" customHeight="1">
      <c r="A31" s="35"/>
      <c r="B31" s="35"/>
      <c r="C31" s="35"/>
      <c r="D31" s="36"/>
      <c r="E31" s="37"/>
      <c r="F31" s="38"/>
    </row>
    <row r="32" ht="15.75" customHeight="1">
      <c r="A32" s="35"/>
      <c r="B32" s="35"/>
      <c r="C32" s="35"/>
      <c r="D32" s="36"/>
      <c r="E32" s="37"/>
      <c r="F32" s="38"/>
    </row>
    <row r="33" ht="15.75" customHeight="1">
      <c r="A33" s="35"/>
      <c r="B33" s="35"/>
      <c r="C33" s="35"/>
      <c r="D33" s="36"/>
      <c r="E33" s="37"/>
      <c r="F33" s="38"/>
    </row>
    <row r="34" ht="15.75" customHeight="1">
      <c r="A34" s="35"/>
      <c r="B34" s="35"/>
      <c r="C34" s="35"/>
      <c r="D34" s="36"/>
      <c r="E34" s="37"/>
      <c r="F34" s="38"/>
    </row>
    <row r="35" ht="15.75" customHeight="1">
      <c r="A35" s="35"/>
      <c r="B35" s="35"/>
      <c r="C35" s="35"/>
      <c r="D35" s="36"/>
      <c r="E35" s="37"/>
      <c r="F35" s="38"/>
    </row>
    <row r="36" ht="15.75" customHeight="1">
      <c r="A36" s="35"/>
      <c r="B36" s="35"/>
      <c r="C36" s="35"/>
      <c r="D36" s="36"/>
      <c r="E36" s="37"/>
      <c r="F36" s="38"/>
    </row>
    <row r="37" ht="15.75" customHeight="1">
      <c r="A37" s="35"/>
      <c r="B37" s="35"/>
      <c r="C37" s="35"/>
      <c r="D37" s="36"/>
      <c r="E37" s="37"/>
      <c r="F37" s="38"/>
    </row>
    <row r="38" ht="15.75" customHeight="1">
      <c r="A38" s="35"/>
      <c r="B38" s="35"/>
      <c r="C38" s="35"/>
      <c r="D38" s="36"/>
      <c r="E38" s="37"/>
      <c r="F38" s="38"/>
    </row>
    <row r="39" ht="15.75" customHeight="1">
      <c r="A39" s="35"/>
      <c r="B39" s="35"/>
      <c r="C39" s="35"/>
      <c r="D39" s="36"/>
      <c r="E39" s="37"/>
      <c r="F39" s="38"/>
    </row>
    <row r="40" ht="15.75" customHeight="1">
      <c r="A40" s="35"/>
      <c r="B40" s="35"/>
      <c r="C40" s="35"/>
      <c r="D40" s="36"/>
      <c r="E40" s="37"/>
      <c r="F40" s="38"/>
    </row>
    <row r="41" ht="15.75" customHeight="1">
      <c r="A41" s="35"/>
      <c r="B41" s="35"/>
      <c r="C41" s="35"/>
      <c r="D41" s="36"/>
      <c r="E41" s="37"/>
      <c r="F41" s="38"/>
    </row>
    <row r="42" ht="15.75" customHeight="1">
      <c r="A42" s="35"/>
      <c r="B42" s="35"/>
      <c r="C42" s="35"/>
      <c r="D42" s="36"/>
      <c r="E42" s="37"/>
      <c r="F42" s="38"/>
    </row>
    <row r="43" ht="15.75" customHeight="1">
      <c r="A43" s="35"/>
      <c r="B43" s="35"/>
      <c r="C43" s="35"/>
      <c r="D43" s="36"/>
      <c r="E43" s="37"/>
      <c r="F43" s="38"/>
    </row>
    <row r="44" ht="15.75" customHeight="1">
      <c r="A44" s="35"/>
      <c r="B44" s="35"/>
      <c r="C44" s="35"/>
      <c r="D44" s="36"/>
      <c r="E44" s="37"/>
      <c r="F44" s="38"/>
    </row>
    <row r="45" ht="15.75" customHeight="1">
      <c r="A45" s="35"/>
      <c r="B45" s="35"/>
      <c r="C45" s="35"/>
      <c r="D45" s="36"/>
      <c r="E45" s="37"/>
      <c r="F45" s="38"/>
    </row>
    <row r="46" ht="15.75" customHeight="1">
      <c r="A46" s="35"/>
      <c r="B46" s="35"/>
      <c r="C46" s="35"/>
      <c r="D46" s="36"/>
      <c r="E46" s="37"/>
      <c r="F46" s="38"/>
    </row>
    <row r="47" ht="15.75" customHeight="1">
      <c r="A47" s="35"/>
      <c r="B47" s="35"/>
      <c r="C47" s="35"/>
      <c r="D47" s="36"/>
      <c r="E47" s="37"/>
      <c r="F47" s="38"/>
    </row>
    <row r="48" ht="15.75" customHeight="1">
      <c r="A48" s="35"/>
      <c r="B48" s="35"/>
      <c r="C48" s="35"/>
      <c r="D48" s="36"/>
      <c r="E48" s="37"/>
      <c r="F48" s="38"/>
    </row>
    <row r="49" ht="15.75" customHeight="1">
      <c r="A49" s="35"/>
      <c r="B49" s="35"/>
      <c r="C49" s="35"/>
      <c r="D49" s="36"/>
      <c r="E49" s="37"/>
      <c r="F49" s="38"/>
    </row>
    <row r="50" ht="15.75" customHeight="1">
      <c r="A50" s="35"/>
      <c r="B50" s="35"/>
      <c r="C50" s="35"/>
      <c r="D50" s="36"/>
      <c r="E50" s="37"/>
      <c r="F50" s="38"/>
    </row>
    <row r="51" ht="15.75" customHeight="1">
      <c r="A51" s="35"/>
      <c r="B51" s="35"/>
      <c r="C51" s="35"/>
      <c r="D51" s="36"/>
      <c r="E51" s="37"/>
      <c r="F51" s="38"/>
    </row>
    <row r="52" ht="15.75" customHeight="1">
      <c r="A52" s="35"/>
      <c r="B52" s="35"/>
      <c r="C52" s="35"/>
      <c r="D52" s="36"/>
      <c r="E52" s="37"/>
      <c r="F52" s="38"/>
    </row>
    <row r="53" ht="15.75" customHeight="1">
      <c r="A53" s="35"/>
      <c r="B53" s="35"/>
      <c r="C53" s="35"/>
      <c r="D53" s="36"/>
      <c r="E53" s="37"/>
      <c r="F53" s="38"/>
    </row>
    <row r="54" ht="15.75" customHeight="1">
      <c r="A54" s="35"/>
      <c r="B54" s="35"/>
      <c r="C54" s="35"/>
      <c r="D54" s="36"/>
      <c r="E54" s="37"/>
      <c r="F54" s="38"/>
    </row>
    <row r="55" ht="15.75" customHeight="1">
      <c r="A55" s="35"/>
      <c r="B55" s="35"/>
      <c r="C55" s="35"/>
      <c r="D55" s="36"/>
      <c r="E55" s="37"/>
      <c r="F55" s="38"/>
    </row>
    <row r="56" ht="15.75" customHeight="1">
      <c r="A56" s="35"/>
      <c r="B56" s="35"/>
      <c r="C56" s="35"/>
      <c r="D56" s="36"/>
      <c r="E56" s="37"/>
      <c r="F56" s="38"/>
    </row>
    <row r="57" ht="15.75" customHeight="1">
      <c r="A57" s="35"/>
      <c r="B57" s="35"/>
      <c r="C57" s="35"/>
      <c r="D57" s="36"/>
      <c r="E57" s="37"/>
      <c r="F57" s="38"/>
    </row>
    <row r="58" ht="15.75" customHeight="1">
      <c r="A58" s="35"/>
      <c r="B58" s="35"/>
      <c r="C58" s="35"/>
      <c r="D58" s="36"/>
      <c r="E58" s="37"/>
      <c r="F58" s="38"/>
    </row>
    <row r="59" ht="15.75" customHeight="1">
      <c r="A59" s="35"/>
      <c r="B59" s="35"/>
      <c r="C59" s="35"/>
      <c r="D59" s="36"/>
      <c r="E59" s="37"/>
      <c r="F59" s="38"/>
    </row>
    <row r="60" ht="15.75" customHeight="1">
      <c r="A60" s="35"/>
      <c r="B60" s="35"/>
      <c r="C60" s="35"/>
      <c r="D60" s="36"/>
      <c r="E60" s="37"/>
      <c r="F60" s="38"/>
    </row>
    <row r="61" ht="15.75" customHeight="1">
      <c r="A61" s="35"/>
      <c r="B61" s="35"/>
      <c r="C61" s="35"/>
      <c r="D61" s="36"/>
      <c r="E61" s="37"/>
      <c r="F61" s="38"/>
    </row>
    <row r="62" ht="15.75" customHeight="1">
      <c r="A62" s="35"/>
      <c r="B62" s="35"/>
      <c r="C62" s="35"/>
      <c r="D62" s="36"/>
      <c r="E62" s="37"/>
      <c r="F62" s="38"/>
    </row>
    <row r="63" ht="15.75" customHeight="1">
      <c r="A63" s="35"/>
      <c r="B63" s="35"/>
      <c r="C63" s="35"/>
      <c r="D63" s="36"/>
      <c r="E63" s="37"/>
      <c r="F63" s="38"/>
    </row>
    <row r="64" ht="15.75" customHeight="1">
      <c r="A64" s="35"/>
      <c r="B64" s="35"/>
      <c r="C64" s="35"/>
      <c r="D64" s="36"/>
      <c r="E64" s="37"/>
      <c r="F64" s="38"/>
    </row>
    <row r="65" ht="15.75" customHeight="1">
      <c r="A65" s="35"/>
      <c r="B65" s="35"/>
      <c r="C65" s="35"/>
      <c r="D65" s="36"/>
      <c r="E65" s="37"/>
      <c r="F65" s="38"/>
    </row>
    <row r="66" ht="15.75" customHeight="1">
      <c r="A66" s="35"/>
      <c r="B66" s="35"/>
      <c r="C66" s="35"/>
      <c r="D66" s="36"/>
      <c r="E66" s="37"/>
      <c r="F66" s="38"/>
    </row>
    <row r="67" ht="15.75" customHeight="1">
      <c r="A67" s="35"/>
      <c r="B67" s="35"/>
      <c r="C67" s="35"/>
      <c r="D67" s="36"/>
      <c r="E67" s="37"/>
      <c r="F67" s="38"/>
    </row>
    <row r="68" ht="15.75" customHeight="1">
      <c r="A68" s="35"/>
      <c r="B68" s="35"/>
      <c r="C68" s="35"/>
      <c r="D68" s="36"/>
      <c r="E68" s="37"/>
      <c r="F68" s="38"/>
    </row>
    <row r="69" ht="15.75" customHeight="1">
      <c r="A69" s="35"/>
      <c r="B69" s="35"/>
      <c r="C69" s="35"/>
      <c r="D69" s="36"/>
      <c r="E69" s="37"/>
      <c r="F69" s="38"/>
    </row>
    <row r="70" ht="15.75" customHeight="1">
      <c r="A70" s="35"/>
      <c r="B70" s="35"/>
      <c r="C70" s="35"/>
      <c r="D70" s="36"/>
      <c r="E70" s="37"/>
      <c r="F70" s="38"/>
    </row>
    <row r="71" ht="15.75" customHeight="1">
      <c r="A71" s="35"/>
      <c r="B71" s="35"/>
      <c r="C71" s="35"/>
      <c r="D71" s="36"/>
      <c r="E71" s="37"/>
      <c r="F71" s="38"/>
    </row>
    <row r="72" ht="15.75" customHeight="1">
      <c r="A72" s="35"/>
      <c r="B72" s="35"/>
      <c r="C72" s="35"/>
      <c r="D72" s="36"/>
      <c r="E72" s="37"/>
      <c r="F72" s="38"/>
    </row>
    <row r="73" ht="15.75" customHeight="1">
      <c r="A73" s="35"/>
      <c r="B73" s="35"/>
      <c r="C73" s="35"/>
      <c r="D73" s="36"/>
      <c r="E73" s="37"/>
      <c r="F73" s="38"/>
    </row>
    <row r="74" ht="15.75" customHeight="1">
      <c r="A74" s="35"/>
      <c r="B74" s="35"/>
      <c r="C74" s="35"/>
      <c r="D74" s="36"/>
      <c r="E74" s="37"/>
      <c r="F74" s="38"/>
    </row>
    <row r="75" ht="15.75" customHeight="1">
      <c r="A75" s="35"/>
      <c r="B75" s="35"/>
      <c r="C75" s="35"/>
      <c r="D75" s="36"/>
      <c r="E75" s="37"/>
      <c r="F75" s="38"/>
    </row>
    <row r="76" ht="15.75" customHeight="1">
      <c r="A76" s="35"/>
      <c r="B76" s="35"/>
      <c r="C76" s="35"/>
      <c r="D76" s="36"/>
      <c r="E76" s="37"/>
      <c r="F76" s="38"/>
    </row>
    <row r="77" ht="15.75" customHeight="1">
      <c r="A77" s="35"/>
      <c r="B77" s="35"/>
      <c r="C77" s="35"/>
      <c r="D77" s="36"/>
      <c r="E77" s="37"/>
      <c r="F77" s="38"/>
    </row>
    <row r="78" ht="15.75" customHeight="1">
      <c r="A78" s="35"/>
      <c r="B78" s="35"/>
      <c r="C78" s="35"/>
      <c r="D78" s="36"/>
      <c r="E78" s="37"/>
      <c r="F78" s="38"/>
    </row>
    <row r="79" ht="15.75" customHeight="1">
      <c r="A79" s="35"/>
      <c r="B79" s="35"/>
      <c r="C79" s="35"/>
      <c r="D79" s="36"/>
      <c r="E79" s="37"/>
      <c r="F79" s="38"/>
    </row>
    <row r="80" ht="15.75" customHeight="1">
      <c r="A80" s="35"/>
      <c r="B80" s="35"/>
      <c r="C80" s="35"/>
      <c r="D80" s="36"/>
      <c r="E80" s="37"/>
      <c r="F80" s="38"/>
    </row>
    <row r="81" ht="15.75" customHeight="1">
      <c r="A81" s="35"/>
      <c r="B81" s="35"/>
      <c r="C81" s="35"/>
      <c r="D81" s="36"/>
      <c r="E81" s="37"/>
      <c r="F81" s="38"/>
    </row>
    <row r="82" ht="15.75" customHeight="1">
      <c r="A82" s="35"/>
      <c r="B82" s="35"/>
      <c r="C82" s="35"/>
      <c r="D82" s="36"/>
      <c r="E82" s="37"/>
      <c r="F82" s="38"/>
    </row>
    <row r="83" ht="15.75" customHeight="1">
      <c r="A83" s="35"/>
      <c r="B83" s="35"/>
      <c r="C83" s="35"/>
      <c r="D83" s="36"/>
      <c r="E83" s="37"/>
      <c r="F83" s="38"/>
    </row>
    <row r="84" ht="15.75" customHeight="1">
      <c r="A84" s="35"/>
      <c r="B84" s="35"/>
      <c r="C84" s="35"/>
      <c r="D84" s="36"/>
      <c r="E84" s="37"/>
      <c r="F84" s="38"/>
    </row>
    <row r="85" ht="15.75" customHeight="1">
      <c r="A85" s="35"/>
      <c r="B85" s="35"/>
      <c r="C85" s="35"/>
      <c r="D85" s="36"/>
      <c r="E85" s="37"/>
      <c r="F85" s="38"/>
    </row>
    <row r="86" ht="15.75" customHeight="1">
      <c r="A86" s="35"/>
      <c r="B86" s="35"/>
      <c r="C86" s="35"/>
      <c r="D86" s="36"/>
      <c r="E86" s="37"/>
      <c r="F86" s="38"/>
    </row>
    <row r="87" ht="15.75" customHeight="1">
      <c r="A87" s="35"/>
      <c r="B87" s="35"/>
      <c r="C87" s="35"/>
      <c r="D87" s="36"/>
      <c r="E87" s="37"/>
      <c r="F87" s="38"/>
    </row>
    <row r="88" ht="15.75" customHeight="1">
      <c r="A88" s="35"/>
      <c r="B88" s="35"/>
      <c r="C88" s="35"/>
      <c r="D88" s="36"/>
      <c r="E88" s="37"/>
      <c r="F88" s="38"/>
    </row>
    <row r="89" ht="15.75" customHeight="1">
      <c r="A89" s="35"/>
      <c r="B89" s="35"/>
      <c r="C89" s="35"/>
      <c r="D89" s="36"/>
      <c r="E89" s="37"/>
      <c r="F89" s="38"/>
    </row>
    <row r="90" ht="15.75" customHeight="1">
      <c r="A90" s="35"/>
      <c r="B90" s="35"/>
      <c r="C90" s="35"/>
      <c r="D90" s="36"/>
      <c r="E90" s="37"/>
      <c r="F90" s="38"/>
    </row>
    <row r="91" ht="15.75" customHeight="1">
      <c r="A91" s="35"/>
      <c r="B91" s="35"/>
      <c r="C91" s="35"/>
      <c r="D91" s="36"/>
      <c r="E91" s="37"/>
      <c r="F91" s="38"/>
    </row>
    <row r="92" ht="15.75" customHeight="1">
      <c r="A92" s="35"/>
      <c r="B92" s="35"/>
      <c r="C92" s="35"/>
      <c r="D92" s="36"/>
      <c r="E92" s="37"/>
      <c r="F92" s="38"/>
    </row>
    <row r="93" ht="15.75" customHeight="1">
      <c r="A93" s="35"/>
      <c r="B93" s="35"/>
      <c r="C93" s="35"/>
      <c r="D93" s="36"/>
      <c r="E93" s="37"/>
      <c r="F93" s="38"/>
    </row>
    <row r="94" ht="15.75" customHeight="1">
      <c r="A94" s="35"/>
      <c r="B94" s="35"/>
      <c r="C94" s="35"/>
      <c r="D94" s="36"/>
      <c r="E94" s="37"/>
      <c r="F94" s="38"/>
    </row>
    <row r="95" ht="15.75" customHeight="1">
      <c r="A95" s="35"/>
      <c r="B95" s="35"/>
      <c r="C95" s="35"/>
      <c r="D95" s="36"/>
      <c r="E95" s="37"/>
      <c r="F95" s="38"/>
    </row>
    <row r="96" ht="15.75" customHeight="1">
      <c r="A96" s="35"/>
      <c r="B96" s="35"/>
      <c r="C96" s="35"/>
      <c r="D96" s="36"/>
      <c r="E96" s="37"/>
      <c r="F96" s="38"/>
    </row>
    <row r="97" ht="15.75" customHeight="1">
      <c r="A97" s="35"/>
      <c r="B97" s="35"/>
      <c r="C97" s="35"/>
      <c r="D97" s="36"/>
      <c r="E97" s="37"/>
      <c r="F97" s="38"/>
    </row>
    <row r="98" ht="15.75" customHeight="1">
      <c r="A98" s="35"/>
      <c r="B98" s="35"/>
      <c r="C98" s="35"/>
      <c r="D98" s="36"/>
      <c r="E98" s="37"/>
      <c r="F98" s="38"/>
    </row>
    <row r="99" ht="15.75" customHeight="1">
      <c r="A99" s="35"/>
      <c r="B99" s="35"/>
      <c r="C99" s="35"/>
      <c r="D99" s="36"/>
      <c r="E99" s="37"/>
      <c r="F99" s="38"/>
    </row>
    <row r="100" ht="15.75" customHeight="1">
      <c r="A100" s="35"/>
      <c r="B100" s="35"/>
      <c r="C100" s="35"/>
      <c r="D100" s="36"/>
      <c r="E100" s="37"/>
      <c r="F100" s="38"/>
    </row>
    <row r="101" ht="15.75" customHeight="1">
      <c r="A101" s="35"/>
      <c r="B101" s="35"/>
      <c r="C101" s="35"/>
      <c r="D101" s="36"/>
      <c r="E101" s="37"/>
      <c r="F101" s="38"/>
    </row>
    <row r="102" ht="15.75" customHeight="1">
      <c r="A102" s="35"/>
      <c r="B102" s="35"/>
      <c r="C102" s="35"/>
      <c r="D102" s="36"/>
      <c r="E102" s="37"/>
      <c r="F102" s="38"/>
    </row>
    <row r="103" ht="15.75" customHeight="1">
      <c r="A103" s="35"/>
      <c r="B103" s="35"/>
      <c r="C103" s="35"/>
      <c r="D103" s="36"/>
      <c r="E103" s="37"/>
      <c r="F103" s="38"/>
    </row>
    <row r="104" ht="15.75" customHeight="1">
      <c r="A104" s="35"/>
      <c r="B104" s="35"/>
      <c r="C104" s="35"/>
      <c r="D104" s="36"/>
      <c r="E104" s="37"/>
      <c r="F104" s="38"/>
    </row>
    <row r="105" ht="15.75" customHeight="1">
      <c r="A105" s="35"/>
      <c r="B105" s="35"/>
      <c r="C105" s="35"/>
      <c r="D105" s="36"/>
      <c r="E105" s="37"/>
      <c r="F105" s="38"/>
    </row>
    <row r="106" ht="15.75" customHeight="1">
      <c r="A106" s="35"/>
      <c r="B106" s="35"/>
      <c r="C106" s="35"/>
      <c r="D106" s="36"/>
      <c r="E106" s="37"/>
      <c r="F106" s="38"/>
    </row>
    <row r="107" ht="15.75" customHeight="1">
      <c r="A107" s="35"/>
      <c r="B107" s="35"/>
      <c r="C107" s="35"/>
      <c r="D107" s="36"/>
      <c r="E107" s="37"/>
      <c r="F107" s="38"/>
    </row>
    <row r="108" ht="15.75" customHeight="1">
      <c r="A108" s="35"/>
      <c r="B108" s="35"/>
      <c r="C108" s="35"/>
      <c r="D108" s="36"/>
      <c r="E108" s="37"/>
      <c r="F108" s="38"/>
    </row>
    <row r="109" ht="15.75" customHeight="1">
      <c r="A109" s="35"/>
      <c r="B109" s="35"/>
      <c r="C109" s="35"/>
      <c r="D109" s="36"/>
      <c r="E109" s="37"/>
      <c r="F109" s="38"/>
    </row>
    <row r="110" ht="15.75" customHeight="1">
      <c r="A110" s="35"/>
      <c r="B110" s="35"/>
      <c r="C110" s="35"/>
      <c r="D110" s="36"/>
      <c r="E110" s="37"/>
      <c r="F110" s="38"/>
    </row>
    <row r="111" ht="15.75" customHeight="1">
      <c r="A111" s="35"/>
      <c r="B111" s="35"/>
      <c r="C111" s="35"/>
      <c r="D111" s="36"/>
      <c r="E111" s="37"/>
      <c r="F111" s="38"/>
    </row>
    <row r="112" ht="15.75" customHeight="1">
      <c r="A112" s="35"/>
      <c r="B112" s="35"/>
      <c r="C112" s="35"/>
      <c r="D112" s="36"/>
      <c r="E112" s="37"/>
      <c r="F112" s="38"/>
    </row>
    <row r="113" ht="15.75" customHeight="1">
      <c r="A113" s="35"/>
      <c r="B113" s="35"/>
      <c r="C113" s="35"/>
      <c r="D113" s="36"/>
      <c r="E113" s="37"/>
      <c r="F113" s="38"/>
    </row>
    <row r="114" ht="15.75" customHeight="1">
      <c r="A114" s="35"/>
      <c r="B114" s="35"/>
      <c r="C114" s="35"/>
      <c r="D114" s="36"/>
      <c r="E114" s="37"/>
      <c r="F114" s="38"/>
    </row>
    <row r="115" ht="15.75" customHeight="1">
      <c r="A115" s="35"/>
      <c r="B115" s="35"/>
      <c r="C115" s="35"/>
      <c r="D115" s="36"/>
      <c r="E115" s="37"/>
      <c r="F115" s="38"/>
    </row>
    <row r="116" ht="15.75" customHeight="1">
      <c r="A116" s="35"/>
      <c r="B116" s="35"/>
      <c r="C116" s="35"/>
      <c r="D116" s="36"/>
      <c r="E116" s="37"/>
      <c r="F116" s="38"/>
    </row>
    <row r="117" ht="15.75" customHeight="1">
      <c r="A117" s="35"/>
      <c r="B117" s="35"/>
      <c r="C117" s="35"/>
      <c r="D117" s="36"/>
      <c r="E117" s="37"/>
      <c r="F117" s="38"/>
    </row>
    <row r="118" ht="15.75" customHeight="1">
      <c r="A118" s="35"/>
      <c r="B118" s="35"/>
      <c r="C118" s="35"/>
      <c r="D118" s="36"/>
      <c r="E118" s="37"/>
      <c r="F118" s="38"/>
    </row>
    <row r="119" ht="15.75" customHeight="1">
      <c r="A119" s="35"/>
      <c r="B119" s="35"/>
      <c r="C119" s="35"/>
      <c r="D119" s="36"/>
      <c r="E119" s="37"/>
      <c r="F119" s="38"/>
    </row>
    <row r="120" ht="15.75" customHeight="1">
      <c r="A120" s="35"/>
      <c r="B120" s="35"/>
      <c r="C120" s="35"/>
      <c r="D120" s="36"/>
      <c r="E120" s="37"/>
      <c r="F120" s="38"/>
    </row>
    <row r="121" ht="15.75" customHeight="1">
      <c r="A121" s="35"/>
      <c r="B121" s="35"/>
      <c r="C121" s="35"/>
      <c r="D121" s="36"/>
      <c r="E121" s="37"/>
      <c r="F121" s="38"/>
    </row>
    <row r="122" ht="15.75" customHeight="1">
      <c r="A122" s="35"/>
      <c r="B122" s="35"/>
      <c r="C122" s="35"/>
      <c r="D122" s="36"/>
      <c r="E122" s="37"/>
      <c r="F122" s="38"/>
    </row>
    <row r="123" ht="15.75" customHeight="1">
      <c r="A123" s="35"/>
      <c r="B123" s="35"/>
      <c r="C123" s="35"/>
      <c r="D123" s="36"/>
      <c r="E123" s="37"/>
      <c r="F123" s="38"/>
    </row>
    <row r="124" ht="15.75" customHeight="1">
      <c r="A124" s="35"/>
      <c r="B124" s="35"/>
      <c r="C124" s="35"/>
      <c r="D124" s="36"/>
      <c r="E124" s="37"/>
      <c r="F124" s="38"/>
    </row>
    <row r="125" ht="15.75" customHeight="1">
      <c r="A125" s="35"/>
      <c r="B125" s="35"/>
      <c r="C125" s="35"/>
      <c r="D125" s="36"/>
      <c r="E125" s="37"/>
      <c r="F125" s="38"/>
    </row>
    <row r="126" ht="15.75" customHeight="1">
      <c r="A126" s="35"/>
      <c r="B126" s="35"/>
      <c r="C126" s="35"/>
      <c r="D126" s="36"/>
      <c r="E126" s="37"/>
      <c r="F126" s="38"/>
    </row>
    <row r="127" ht="15.75" customHeight="1">
      <c r="A127" s="35"/>
      <c r="B127" s="35"/>
      <c r="C127" s="35"/>
      <c r="D127" s="36"/>
      <c r="E127" s="37"/>
      <c r="F127" s="38"/>
    </row>
    <row r="128" ht="15.75" customHeight="1">
      <c r="A128" s="35"/>
      <c r="B128" s="35"/>
      <c r="C128" s="35"/>
      <c r="D128" s="36"/>
      <c r="E128" s="37"/>
      <c r="F128" s="38"/>
    </row>
    <row r="129" ht="15.75" customHeight="1">
      <c r="A129" s="35"/>
      <c r="B129" s="35"/>
      <c r="C129" s="35"/>
      <c r="D129" s="36"/>
      <c r="E129" s="37"/>
      <c r="F129" s="38"/>
    </row>
    <row r="130" ht="15.75" customHeight="1">
      <c r="A130" s="35"/>
      <c r="B130" s="35"/>
      <c r="C130" s="35"/>
      <c r="D130" s="36"/>
      <c r="E130" s="37"/>
      <c r="F130" s="38"/>
    </row>
    <row r="131" ht="15.75" customHeight="1">
      <c r="A131" s="35"/>
      <c r="B131" s="35"/>
      <c r="C131" s="35"/>
      <c r="D131" s="36"/>
      <c r="E131" s="37"/>
      <c r="F131" s="38"/>
    </row>
    <row r="132" ht="15.75" customHeight="1">
      <c r="A132" s="35"/>
      <c r="B132" s="35"/>
      <c r="C132" s="35"/>
      <c r="D132" s="36"/>
      <c r="E132" s="37"/>
      <c r="F132" s="38"/>
    </row>
    <row r="133" ht="15.75" customHeight="1">
      <c r="A133" s="35"/>
      <c r="B133" s="35"/>
      <c r="C133" s="35"/>
      <c r="D133" s="36"/>
      <c r="E133" s="37"/>
      <c r="F133" s="38"/>
    </row>
    <row r="134" ht="15.75" customHeight="1">
      <c r="A134" s="35"/>
      <c r="B134" s="35"/>
      <c r="C134" s="35"/>
      <c r="D134" s="36"/>
      <c r="E134" s="37"/>
      <c r="F134" s="38"/>
    </row>
    <row r="135" ht="15.75" customHeight="1">
      <c r="A135" s="35"/>
      <c r="B135" s="35"/>
      <c r="C135" s="35"/>
      <c r="D135" s="36"/>
      <c r="E135" s="37"/>
      <c r="F135" s="38"/>
    </row>
    <row r="136" ht="15.75" customHeight="1">
      <c r="A136" s="35"/>
      <c r="B136" s="35"/>
      <c r="C136" s="35"/>
      <c r="D136" s="36"/>
      <c r="E136" s="37"/>
      <c r="F136" s="38"/>
    </row>
    <row r="137" ht="15.75" customHeight="1">
      <c r="A137" s="35"/>
      <c r="B137" s="35"/>
      <c r="C137" s="35"/>
      <c r="D137" s="36"/>
      <c r="E137" s="37"/>
      <c r="F137" s="38"/>
    </row>
    <row r="138" ht="15.75" customHeight="1">
      <c r="A138" s="35"/>
      <c r="B138" s="35"/>
      <c r="C138" s="35"/>
      <c r="D138" s="36"/>
      <c r="E138" s="37"/>
      <c r="F138" s="38"/>
    </row>
    <row r="139" ht="15.75" customHeight="1">
      <c r="A139" s="35"/>
      <c r="B139" s="35"/>
      <c r="C139" s="35"/>
      <c r="D139" s="36"/>
      <c r="E139" s="37"/>
      <c r="F139" s="38"/>
    </row>
    <row r="140" ht="15.75" customHeight="1">
      <c r="A140" s="35"/>
      <c r="B140" s="35"/>
      <c r="C140" s="35"/>
      <c r="D140" s="36"/>
      <c r="E140" s="37"/>
      <c r="F140" s="38"/>
    </row>
    <row r="141" ht="15.75" customHeight="1">
      <c r="A141" s="35"/>
      <c r="B141" s="35"/>
      <c r="C141" s="35"/>
      <c r="D141" s="36"/>
      <c r="E141" s="37"/>
      <c r="F141" s="38"/>
    </row>
    <row r="142" ht="15.75" customHeight="1">
      <c r="A142" s="35"/>
      <c r="B142" s="35"/>
      <c r="C142" s="35"/>
      <c r="D142" s="36"/>
      <c r="E142" s="37"/>
      <c r="F142" s="38"/>
    </row>
    <row r="143" ht="15.75" customHeight="1">
      <c r="A143" s="35"/>
      <c r="B143" s="35"/>
      <c r="C143" s="35"/>
      <c r="D143" s="36"/>
      <c r="E143" s="37"/>
      <c r="F143" s="38"/>
    </row>
    <row r="144" ht="15.75" customHeight="1">
      <c r="A144" s="35"/>
      <c r="B144" s="35"/>
      <c r="C144" s="35"/>
      <c r="D144" s="36"/>
      <c r="E144" s="37"/>
      <c r="F144" s="38"/>
    </row>
    <row r="145" ht="15.75" customHeight="1">
      <c r="A145" s="35"/>
      <c r="B145" s="35"/>
      <c r="C145" s="35"/>
      <c r="D145" s="36"/>
      <c r="E145" s="37"/>
      <c r="F145" s="38"/>
    </row>
    <row r="146" ht="15.75" customHeight="1">
      <c r="A146" s="35"/>
      <c r="B146" s="35"/>
      <c r="C146" s="35"/>
      <c r="D146" s="36"/>
      <c r="E146" s="37"/>
      <c r="F146" s="38"/>
    </row>
    <row r="147" ht="15.75" customHeight="1">
      <c r="A147" s="35"/>
      <c r="B147" s="35"/>
      <c r="C147" s="35"/>
      <c r="D147" s="36"/>
      <c r="E147" s="37"/>
      <c r="F147" s="38"/>
    </row>
    <row r="148" ht="15.75" customHeight="1">
      <c r="A148" s="35"/>
      <c r="B148" s="35"/>
      <c r="C148" s="35"/>
      <c r="D148" s="36"/>
      <c r="E148" s="37"/>
      <c r="F148" s="38"/>
    </row>
    <row r="149" ht="15.75" customHeight="1">
      <c r="A149" s="35"/>
      <c r="B149" s="35"/>
      <c r="C149" s="35"/>
      <c r="D149" s="36"/>
      <c r="E149" s="37"/>
      <c r="F149" s="38"/>
    </row>
    <row r="150" ht="15.75" customHeight="1">
      <c r="A150" s="35"/>
      <c r="B150" s="35"/>
      <c r="C150" s="35"/>
      <c r="D150" s="36"/>
      <c r="E150" s="37"/>
      <c r="F150" s="38"/>
    </row>
    <row r="151" ht="15.75" customHeight="1">
      <c r="A151" s="35"/>
      <c r="B151" s="35"/>
      <c r="C151" s="35"/>
      <c r="D151" s="36"/>
      <c r="E151" s="37"/>
      <c r="F151" s="38"/>
    </row>
    <row r="152" ht="15.75" customHeight="1">
      <c r="A152" s="35"/>
      <c r="B152" s="35"/>
      <c r="C152" s="35"/>
      <c r="D152" s="36"/>
      <c r="E152" s="37"/>
      <c r="F152" s="38"/>
    </row>
    <row r="153" ht="15.75" customHeight="1">
      <c r="A153" s="35"/>
      <c r="B153" s="35"/>
      <c r="C153" s="35"/>
      <c r="D153" s="36"/>
      <c r="E153" s="37"/>
      <c r="F153" s="38"/>
    </row>
    <row r="154" ht="15.75" customHeight="1">
      <c r="A154" s="35"/>
      <c r="B154" s="35"/>
      <c r="C154" s="35"/>
      <c r="D154" s="36"/>
      <c r="E154" s="37"/>
      <c r="F154" s="38"/>
    </row>
    <row r="155" ht="15.75" customHeight="1">
      <c r="A155" s="35"/>
      <c r="B155" s="35"/>
      <c r="C155" s="35"/>
      <c r="D155" s="36"/>
      <c r="E155" s="37"/>
      <c r="F155" s="38"/>
    </row>
    <row r="156" ht="15.75" customHeight="1">
      <c r="A156" s="35"/>
      <c r="B156" s="35"/>
      <c r="C156" s="35"/>
      <c r="D156" s="36"/>
      <c r="E156" s="37"/>
      <c r="F156" s="38"/>
    </row>
    <row r="157" ht="15.75" customHeight="1">
      <c r="A157" s="35"/>
      <c r="B157" s="35"/>
      <c r="C157" s="35"/>
      <c r="D157" s="36"/>
      <c r="E157" s="37"/>
      <c r="F157" s="38"/>
    </row>
    <row r="158" ht="15.75" customHeight="1">
      <c r="A158" s="35"/>
      <c r="B158" s="35"/>
      <c r="C158" s="35"/>
      <c r="D158" s="36"/>
      <c r="E158" s="37"/>
      <c r="F158" s="38"/>
    </row>
    <row r="159" ht="15.75" customHeight="1">
      <c r="A159" s="35"/>
      <c r="B159" s="35"/>
      <c r="C159" s="35"/>
      <c r="D159" s="36"/>
      <c r="E159" s="37"/>
      <c r="F159" s="38"/>
    </row>
    <row r="160" ht="15.75" customHeight="1">
      <c r="A160" s="35"/>
      <c r="B160" s="35"/>
      <c r="C160" s="35"/>
      <c r="D160" s="36"/>
      <c r="E160" s="37"/>
      <c r="F160" s="38"/>
    </row>
    <row r="161" ht="15.75" customHeight="1">
      <c r="A161" s="35"/>
      <c r="B161" s="35"/>
      <c r="C161" s="35"/>
      <c r="D161" s="36"/>
      <c r="E161" s="37"/>
      <c r="F161" s="38"/>
    </row>
    <row r="162" ht="15.75" customHeight="1">
      <c r="A162" s="35"/>
      <c r="B162" s="35"/>
      <c r="C162" s="35"/>
      <c r="D162" s="36"/>
      <c r="E162" s="37"/>
      <c r="F162" s="38"/>
    </row>
    <row r="163" ht="15.75" customHeight="1">
      <c r="A163" s="35"/>
      <c r="B163" s="35"/>
      <c r="C163" s="35"/>
      <c r="D163" s="36"/>
      <c r="E163" s="37"/>
      <c r="F163" s="38"/>
    </row>
    <row r="164" ht="15.75" customHeight="1">
      <c r="A164" s="35"/>
      <c r="B164" s="35"/>
      <c r="C164" s="35"/>
      <c r="D164" s="36"/>
      <c r="E164" s="37"/>
      <c r="F164" s="38"/>
    </row>
    <row r="165" ht="15.75" customHeight="1">
      <c r="A165" s="35"/>
      <c r="B165" s="35"/>
      <c r="C165" s="35"/>
      <c r="D165" s="36"/>
      <c r="E165" s="37"/>
      <c r="F165" s="38"/>
    </row>
    <row r="166" ht="15.75" customHeight="1">
      <c r="A166" s="35"/>
      <c r="B166" s="35"/>
      <c r="C166" s="35"/>
      <c r="D166" s="36"/>
      <c r="E166" s="37"/>
      <c r="F166" s="38"/>
    </row>
    <row r="167" ht="15.75" customHeight="1">
      <c r="A167" s="35"/>
      <c r="B167" s="35"/>
      <c r="C167" s="35"/>
      <c r="D167" s="36"/>
      <c r="E167" s="37"/>
      <c r="F167" s="38"/>
    </row>
    <row r="168" ht="15.75" customHeight="1">
      <c r="A168" s="35"/>
      <c r="B168" s="35"/>
      <c r="C168" s="35"/>
      <c r="D168" s="36"/>
      <c r="E168" s="37"/>
      <c r="F168" s="38"/>
    </row>
    <row r="169" ht="15.75" customHeight="1">
      <c r="A169" s="35"/>
      <c r="B169" s="35"/>
      <c r="C169" s="35"/>
      <c r="D169" s="36"/>
      <c r="E169" s="37"/>
      <c r="F169" s="38"/>
    </row>
    <row r="170" ht="15.75" customHeight="1">
      <c r="A170" s="35"/>
      <c r="B170" s="35"/>
      <c r="C170" s="35"/>
      <c r="D170" s="36"/>
      <c r="E170" s="37"/>
      <c r="F170" s="38"/>
    </row>
    <row r="171" ht="15.75" customHeight="1">
      <c r="A171" s="35"/>
      <c r="B171" s="35"/>
      <c r="C171" s="35"/>
      <c r="D171" s="36"/>
      <c r="E171" s="37"/>
      <c r="F171" s="38"/>
    </row>
    <row r="172" ht="15.75" customHeight="1">
      <c r="A172" s="35"/>
      <c r="B172" s="35"/>
      <c r="C172" s="35"/>
      <c r="D172" s="36"/>
      <c r="E172" s="37"/>
      <c r="F172" s="38"/>
    </row>
    <row r="173" ht="15.75" customHeight="1">
      <c r="A173" s="35"/>
      <c r="B173" s="35"/>
      <c r="C173" s="35"/>
      <c r="D173" s="36"/>
      <c r="E173" s="37"/>
      <c r="F173" s="38"/>
    </row>
    <row r="174" ht="15.75" customHeight="1">
      <c r="A174" s="35"/>
      <c r="B174" s="35"/>
      <c r="C174" s="35"/>
      <c r="D174" s="36"/>
      <c r="E174" s="37"/>
      <c r="F174" s="38"/>
    </row>
    <row r="175" ht="15.75" customHeight="1">
      <c r="A175" s="35"/>
      <c r="B175" s="35"/>
      <c r="C175" s="35"/>
      <c r="D175" s="36"/>
      <c r="E175" s="37"/>
      <c r="F175" s="38"/>
    </row>
    <row r="176" ht="15.75" customHeight="1">
      <c r="A176" s="35"/>
      <c r="B176" s="35"/>
      <c r="C176" s="35"/>
      <c r="D176" s="36"/>
      <c r="E176" s="37"/>
      <c r="F176" s="38"/>
    </row>
    <row r="177" ht="15.75" customHeight="1">
      <c r="A177" s="35"/>
      <c r="B177" s="35"/>
      <c r="C177" s="35"/>
      <c r="D177" s="36"/>
      <c r="E177" s="37"/>
      <c r="F177" s="38"/>
    </row>
    <row r="178" ht="15.75" customHeight="1">
      <c r="A178" s="35"/>
      <c r="B178" s="35"/>
      <c r="C178" s="35"/>
      <c r="D178" s="36"/>
      <c r="E178" s="37"/>
      <c r="F178" s="38"/>
    </row>
    <row r="179" ht="15.75" customHeight="1">
      <c r="A179" s="35"/>
      <c r="B179" s="35"/>
      <c r="C179" s="35"/>
      <c r="D179" s="36"/>
      <c r="E179" s="37"/>
      <c r="F179" s="38"/>
    </row>
    <row r="180" ht="15.75" customHeight="1">
      <c r="A180" s="35"/>
      <c r="B180" s="35"/>
      <c r="C180" s="35"/>
      <c r="D180" s="36"/>
      <c r="E180" s="37"/>
      <c r="F180" s="38"/>
    </row>
    <row r="181" ht="15.75" customHeight="1">
      <c r="A181" s="35"/>
      <c r="B181" s="35"/>
      <c r="C181" s="35"/>
      <c r="D181" s="36"/>
      <c r="E181" s="37"/>
      <c r="F181" s="38"/>
    </row>
    <row r="182" ht="15.75" customHeight="1">
      <c r="A182" s="35"/>
      <c r="B182" s="35"/>
      <c r="C182" s="35"/>
      <c r="D182" s="36"/>
      <c r="E182" s="37"/>
      <c r="F182" s="38"/>
    </row>
    <row r="183" ht="15.75" customHeight="1">
      <c r="A183" s="35"/>
      <c r="B183" s="35"/>
      <c r="C183" s="35"/>
      <c r="D183" s="36"/>
      <c r="E183" s="37"/>
      <c r="F183" s="38"/>
    </row>
    <row r="184" ht="15.75" customHeight="1">
      <c r="A184" s="35"/>
      <c r="B184" s="35"/>
      <c r="C184" s="35"/>
      <c r="D184" s="36"/>
      <c r="E184" s="37"/>
      <c r="F184" s="38"/>
    </row>
    <row r="185" ht="15.75" customHeight="1">
      <c r="A185" s="35"/>
      <c r="B185" s="35"/>
      <c r="C185" s="35"/>
      <c r="D185" s="36"/>
      <c r="E185" s="37"/>
      <c r="F185" s="38"/>
    </row>
    <row r="186" ht="15.75" customHeight="1">
      <c r="A186" s="35"/>
      <c r="B186" s="35"/>
      <c r="C186" s="35"/>
      <c r="D186" s="36"/>
      <c r="E186" s="37"/>
      <c r="F186" s="38"/>
    </row>
    <row r="187" ht="15.75" customHeight="1">
      <c r="A187" s="35"/>
      <c r="B187" s="35"/>
      <c r="C187" s="35"/>
      <c r="D187" s="36"/>
      <c r="E187" s="37"/>
      <c r="F187" s="38"/>
    </row>
    <row r="188" ht="15.75" customHeight="1">
      <c r="A188" s="35"/>
      <c r="B188" s="35"/>
      <c r="C188" s="35"/>
      <c r="D188" s="36"/>
      <c r="E188" s="37"/>
      <c r="F188" s="38"/>
    </row>
    <row r="189" ht="15.75" customHeight="1">
      <c r="A189" s="35"/>
      <c r="B189" s="35"/>
      <c r="C189" s="35"/>
      <c r="D189" s="36"/>
      <c r="E189" s="37"/>
      <c r="F189" s="38"/>
    </row>
    <row r="190" ht="15.75" customHeight="1">
      <c r="A190" s="35"/>
      <c r="B190" s="35"/>
      <c r="C190" s="35"/>
      <c r="D190" s="36"/>
      <c r="E190" s="37"/>
      <c r="F190" s="38"/>
    </row>
    <row r="191" ht="15.75" customHeight="1">
      <c r="A191" s="35"/>
      <c r="B191" s="35"/>
      <c r="C191" s="35"/>
      <c r="D191" s="36"/>
      <c r="E191" s="37"/>
      <c r="F191" s="38"/>
    </row>
    <row r="192" ht="15.75" customHeight="1">
      <c r="A192" s="35"/>
      <c r="B192" s="35"/>
      <c r="C192" s="35"/>
      <c r="D192" s="36"/>
      <c r="E192" s="37"/>
      <c r="F192" s="38"/>
    </row>
    <row r="193" ht="15.75" customHeight="1">
      <c r="A193" s="35"/>
      <c r="B193" s="35"/>
      <c r="C193" s="35"/>
      <c r="D193" s="36"/>
      <c r="E193" s="37"/>
      <c r="F193" s="38"/>
    </row>
    <row r="194" ht="15.75" customHeight="1">
      <c r="A194" s="35"/>
      <c r="B194" s="35"/>
      <c r="C194" s="35"/>
      <c r="D194" s="36"/>
      <c r="E194" s="37"/>
      <c r="F194" s="38"/>
    </row>
    <row r="195" ht="15.75" customHeight="1">
      <c r="A195" s="35"/>
      <c r="B195" s="35"/>
      <c r="C195" s="35"/>
      <c r="D195" s="36"/>
      <c r="E195" s="37"/>
      <c r="F195" s="38"/>
    </row>
    <row r="196" ht="15.75" customHeight="1">
      <c r="A196" s="35"/>
      <c r="B196" s="35"/>
      <c r="C196" s="35"/>
      <c r="D196" s="36"/>
      <c r="E196" s="37"/>
      <c r="F196" s="38"/>
    </row>
    <row r="197" ht="15.75" customHeight="1">
      <c r="A197" s="35"/>
      <c r="B197" s="35"/>
      <c r="C197" s="35"/>
      <c r="D197" s="36"/>
      <c r="E197" s="37"/>
      <c r="F197" s="38"/>
    </row>
    <row r="198" ht="15.75" customHeight="1">
      <c r="A198" s="35"/>
      <c r="B198" s="35"/>
      <c r="C198" s="35"/>
      <c r="D198" s="36"/>
      <c r="E198" s="37"/>
      <c r="F198" s="38"/>
    </row>
    <row r="199" ht="15.75" customHeight="1">
      <c r="A199" s="35"/>
      <c r="B199" s="35"/>
      <c r="C199" s="35"/>
      <c r="D199" s="36"/>
      <c r="E199" s="37"/>
      <c r="F199" s="38"/>
    </row>
    <row r="200" ht="15.75" customHeight="1">
      <c r="A200" s="35"/>
      <c r="B200" s="35"/>
      <c r="C200" s="35"/>
      <c r="D200" s="36"/>
      <c r="E200" s="37"/>
      <c r="F200" s="38"/>
    </row>
    <row r="201" ht="15.75" customHeight="1">
      <c r="A201" s="35"/>
      <c r="B201" s="35"/>
      <c r="C201" s="35"/>
      <c r="D201" s="36"/>
      <c r="E201" s="37"/>
      <c r="F201" s="38"/>
    </row>
    <row r="202" ht="15.75" customHeight="1">
      <c r="A202" s="35"/>
      <c r="B202" s="35"/>
      <c r="C202" s="35"/>
      <c r="D202" s="36"/>
      <c r="E202" s="37"/>
      <c r="F202" s="38"/>
    </row>
    <row r="203" ht="15.75" customHeight="1">
      <c r="A203" s="35"/>
      <c r="B203" s="35"/>
      <c r="C203" s="35"/>
      <c r="D203" s="36"/>
      <c r="E203" s="37"/>
      <c r="F203" s="38"/>
    </row>
    <row r="204" ht="15.75" customHeight="1">
      <c r="A204" s="35"/>
      <c r="B204" s="35"/>
      <c r="C204" s="35"/>
      <c r="D204" s="36"/>
      <c r="E204" s="37"/>
      <c r="F204" s="38"/>
    </row>
    <row r="205" ht="15.75" customHeight="1">
      <c r="A205" s="35"/>
      <c r="B205" s="35"/>
      <c r="C205" s="35"/>
      <c r="D205" s="36"/>
      <c r="E205" s="37"/>
      <c r="F205" s="38"/>
    </row>
    <row r="206" ht="15.75" customHeight="1">
      <c r="A206" s="35"/>
      <c r="B206" s="35"/>
      <c r="C206" s="35"/>
      <c r="D206" s="36"/>
      <c r="E206" s="37"/>
      <c r="F206" s="38"/>
    </row>
    <row r="207" ht="15.75" customHeight="1">
      <c r="A207" s="35"/>
      <c r="B207" s="35"/>
      <c r="C207" s="35"/>
      <c r="D207" s="36"/>
      <c r="E207" s="37"/>
      <c r="F207" s="38"/>
    </row>
    <row r="208" ht="15.75" customHeight="1">
      <c r="A208" s="35"/>
      <c r="B208" s="35"/>
      <c r="C208" s="35"/>
      <c r="D208" s="36"/>
      <c r="E208" s="37"/>
      <c r="F208" s="38"/>
    </row>
    <row r="209" ht="15.75" customHeight="1">
      <c r="A209" s="35"/>
      <c r="B209" s="35"/>
      <c r="C209" s="35"/>
      <c r="D209" s="36"/>
      <c r="E209" s="37"/>
      <c r="F209" s="38"/>
    </row>
    <row r="210" ht="15.75" customHeight="1">
      <c r="A210" s="35"/>
      <c r="B210" s="35"/>
      <c r="C210" s="35"/>
      <c r="D210" s="36"/>
      <c r="E210" s="37"/>
      <c r="F210" s="38"/>
    </row>
    <row r="211" ht="15.75" customHeight="1">
      <c r="A211" s="35"/>
      <c r="B211" s="35"/>
      <c r="C211" s="35"/>
      <c r="D211" s="36"/>
      <c r="E211" s="37"/>
      <c r="F211" s="38"/>
    </row>
    <row r="212" ht="15.75" customHeight="1">
      <c r="A212" s="35"/>
      <c r="B212" s="35"/>
      <c r="C212" s="35"/>
      <c r="D212" s="36"/>
      <c r="E212" s="37"/>
      <c r="F212" s="38"/>
    </row>
    <row r="213" ht="15.75" customHeight="1">
      <c r="A213" s="35"/>
      <c r="B213" s="35"/>
      <c r="C213" s="35"/>
      <c r="D213" s="36"/>
      <c r="E213" s="37"/>
      <c r="F213" s="38"/>
    </row>
    <row r="214" ht="15.75" customHeight="1">
      <c r="A214" s="35"/>
      <c r="B214" s="35"/>
      <c r="C214" s="35"/>
      <c r="D214" s="36"/>
      <c r="E214" s="37"/>
      <c r="F214" s="38"/>
    </row>
    <row r="215" ht="15.75" customHeight="1">
      <c r="A215" s="35"/>
      <c r="B215" s="35"/>
      <c r="C215" s="35"/>
      <c r="D215" s="36"/>
      <c r="E215" s="37"/>
      <c r="F215" s="38"/>
    </row>
    <row r="216" ht="15.75" customHeight="1">
      <c r="A216" s="35"/>
      <c r="B216" s="35"/>
      <c r="C216" s="35"/>
      <c r="D216" s="36"/>
      <c r="E216" s="37"/>
      <c r="F216" s="38"/>
    </row>
    <row r="217" ht="15.75" customHeight="1">
      <c r="A217" s="35"/>
      <c r="B217" s="35"/>
      <c r="C217" s="35"/>
      <c r="D217" s="36"/>
      <c r="E217" s="37"/>
      <c r="F217" s="38"/>
    </row>
    <row r="218" ht="15.75" customHeight="1">
      <c r="A218" s="35"/>
      <c r="B218" s="35"/>
      <c r="C218" s="35"/>
      <c r="D218" s="36"/>
      <c r="E218" s="37"/>
      <c r="F218" s="38"/>
    </row>
    <row r="219" ht="15.75" customHeight="1">
      <c r="A219" s="35"/>
      <c r="B219" s="35"/>
      <c r="C219" s="35"/>
      <c r="D219" s="36"/>
      <c r="E219" s="37"/>
      <c r="F219" s="38"/>
    </row>
    <row r="220" ht="15.75" customHeight="1">
      <c r="A220" s="35"/>
      <c r="B220" s="35"/>
      <c r="C220" s="35"/>
      <c r="D220" s="36"/>
      <c r="E220" s="37"/>
      <c r="F220" s="38"/>
    </row>
    <row r="221" ht="15.75" customHeight="1">
      <c r="A221" s="40"/>
      <c r="B221" s="40"/>
      <c r="C221" s="40"/>
      <c r="D221" s="40"/>
      <c r="E221" s="40"/>
      <c r="F221" s="40"/>
    </row>
    <row r="222" ht="15.75" customHeight="1">
      <c r="A222" s="40"/>
      <c r="B222" s="40"/>
      <c r="C222" s="40"/>
      <c r="D222" s="40"/>
      <c r="E222" s="40"/>
      <c r="F222" s="40"/>
    </row>
    <row r="223" ht="15.75" customHeight="1">
      <c r="A223" s="40"/>
      <c r="B223" s="40"/>
      <c r="C223" s="40"/>
      <c r="D223" s="40"/>
      <c r="E223" s="40"/>
      <c r="F223" s="40"/>
    </row>
    <row r="224" ht="15.75" customHeight="1">
      <c r="A224" s="40"/>
      <c r="B224" s="40"/>
      <c r="C224" s="40"/>
      <c r="D224" s="40"/>
      <c r="E224" s="40"/>
      <c r="F224" s="40"/>
    </row>
    <row r="225" ht="15.75" customHeight="1">
      <c r="A225" s="40"/>
      <c r="B225" s="40"/>
      <c r="C225" s="40"/>
      <c r="D225" s="40"/>
      <c r="E225" s="40"/>
      <c r="F225" s="40"/>
    </row>
    <row r="226" ht="15.75" customHeight="1">
      <c r="A226" s="40"/>
      <c r="B226" s="40"/>
      <c r="C226" s="40"/>
      <c r="D226" s="40"/>
      <c r="E226" s="40"/>
      <c r="F226" s="40"/>
    </row>
    <row r="227" ht="15.75" customHeight="1">
      <c r="A227" s="40"/>
      <c r="B227" s="40"/>
      <c r="C227" s="40"/>
      <c r="D227" s="40"/>
      <c r="E227" s="40"/>
      <c r="F227" s="40"/>
    </row>
    <row r="228" ht="15.75" customHeight="1">
      <c r="A228" s="40"/>
      <c r="B228" s="40"/>
      <c r="C228" s="40"/>
      <c r="D228" s="40"/>
      <c r="E228" s="40"/>
      <c r="F228" s="40"/>
    </row>
    <row r="229" ht="15.75" customHeight="1">
      <c r="A229" s="40"/>
      <c r="B229" s="40"/>
      <c r="C229" s="40"/>
      <c r="D229" s="40"/>
      <c r="E229" s="40"/>
      <c r="F229" s="40"/>
    </row>
    <row r="230" ht="15.75" customHeight="1">
      <c r="A230" s="40"/>
      <c r="B230" s="40"/>
      <c r="C230" s="40"/>
      <c r="D230" s="40"/>
      <c r="E230" s="40"/>
      <c r="F230" s="40"/>
    </row>
    <row r="231" ht="15.75" customHeight="1">
      <c r="A231" s="40"/>
      <c r="B231" s="40"/>
      <c r="C231" s="40"/>
      <c r="D231" s="40"/>
      <c r="E231" s="40"/>
      <c r="F231" s="40"/>
    </row>
    <row r="232" ht="15.75" customHeight="1">
      <c r="A232" s="40"/>
      <c r="B232" s="40"/>
      <c r="C232" s="40"/>
      <c r="D232" s="40"/>
      <c r="E232" s="40"/>
      <c r="F232" s="40"/>
    </row>
    <row r="233" ht="15.75" customHeight="1">
      <c r="A233" s="40"/>
      <c r="B233" s="40"/>
      <c r="C233" s="40"/>
      <c r="D233" s="40"/>
      <c r="E233" s="40"/>
      <c r="F233" s="40"/>
    </row>
    <row r="234" ht="15.75" customHeight="1">
      <c r="A234" s="40"/>
      <c r="B234" s="40"/>
      <c r="C234" s="40"/>
      <c r="D234" s="40"/>
      <c r="E234" s="40"/>
      <c r="F234" s="40"/>
    </row>
    <row r="235" ht="15.75" customHeight="1">
      <c r="A235" s="40"/>
      <c r="B235" s="40"/>
      <c r="C235" s="40"/>
      <c r="D235" s="40"/>
      <c r="E235" s="40"/>
      <c r="F235" s="40"/>
    </row>
    <row r="236" ht="15.75" customHeight="1">
      <c r="A236" s="40"/>
      <c r="B236" s="40"/>
      <c r="C236" s="40"/>
      <c r="D236" s="40"/>
      <c r="E236" s="40"/>
      <c r="F236" s="40"/>
    </row>
    <row r="237" ht="15.75" customHeight="1">
      <c r="A237" s="40"/>
      <c r="B237" s="40"/>
      <c r="C237" s="40"/>
      <c r="D237" s="40"/>
      <c r="E237" s="40"/>
      <c r="F237" s="40"/>
    </row>
    <row r="238" ht="15.75" customHeight="1">
      <c r="A238" s="40"/>
      <c r="B238" s="40"/>
      <c r="C238" s="40"/>
      <c r="D238" s="40"/>
      <c r="E238" s="40"/>
      <c r="F238" s="40"/>
    </row>
    <row r="239" ht="15.75" customHeight="1">
      <c r="A239" s="40"/>
      <c r="B239" s="40"/>
      <c r="C239" s="40"/>
      <c r="D239" s="40"/>
      <c r="E239" s="40"/>
      <c r="F239" s="40"/>
    </row>
    <row r="240" ht="15.75" customHeight="1">
      <c r="A240" s="40"/>
      <c r="B240" s="40"/>
      <c r="C240" s="40"/>
      <c r="D240" s="40"/>
      <c r="E240" s="40"/>
      <c r="F240" s="40"/>
    </row>
    <row r="241" ht="15.75" customHeight="1">
      <c r="A241" s="40"/>
      <c r="B241" s="40"/>
      <c r="C241" s="40"/>
      <c r="D241" s="40"/>
      <c r="E241" s="40"/>
      <c r="F241" s="40"/>
    </row>
    <row r="242" ht="15.75" customHeight="1">
      <c r="A242" s="40"/>
      <c r="B242" s="40"/>
      <c r="C242" s="40"/>
      <c r="D242" s="40"/>
      <c r="E242" s="40"/>
      <c r="F242" s="40"/>
    </row>
    <row r="243" ht="15.75" customHeight="1">
      <c r="A243" s="40"/>
      <c r="B243" s="40"/>
      <c r="C243" s="40"/>
      <c r="D243" s="40"/>
      <c r="E243" s="40"/>
      <c r="F243" s="40"/>
    </row>
    <row r="244" ht="15.75" customHeight="1">
      <c r="A244" s="40"/>
      <c r="B244" s="40"/>
      <c r="C244" s="40"/>
      <c r="D244" s="40"/>
      <c r="E244" s="40"/>
      <c r="F244" s="40"/>
    </row>
    <row r="245" ht="15.75" customHeight="1">
      <c r="A245" s="40"/>
      <c r="B245" s="40"/>
      <c r="C245" s="40"/>
      <c r="D245" s="40"/>
      <c r="E245" s="40"/>
      <c r="F245" s="40"/>
    </row>
    <row r="246" ht="15.75" customHeight="1">
      <c r="A246" s="40"/>
      <c r="B246" s="40"/>
      <c r="C246" s="40"/>
      <c r="D246" s="40"/>
      <c r="E246" s="40"/>
      <c r="F246" s="40"/>
    </row>
    <row r="247" ht="15.75" customHeight="1">
      <c r="A247" s="40"/>
      <c r="B247" s="40"/>
      <c r="C247" s="40"/>
      <c r="D247" s="40"/>
      <c r="E247" s="40"/>
      <c r="F247" s="40"/>
    </row>
    <row r="248" ht="15.75" customHeight="1">
      <c r="A248" s="40"/>
      <c r="B248" s="40"/>
      <c r="C248" s="40"/>
      <c r="D248" s="40"/>
      <c r="E248" s="40"/>
      <c r="F248" s="40"/>
    </row>
    <row r="249" ht="15.75" customHeight="1">
      <c r="A249" s="40"/>
      <c r="B249" s="40"/>
      <c r="C249" s="40"/>
      <c r="D249" s="40"/>
      <c r="E249" s="40"/>
      <c r="F249" s="40"/>
    </row>
    <row r="250" ht="15.75" customHeight="1">
      <c r="A250" s="40"/>
      <c r="B250" s="40"/>
      <c r="C250" s="40"/>
      <c r="D250" s="40"/>
      <c r="E250" s="40"/>
      <c r="F250" s="40"/>
    </row>
    <row r="251" ht="15.75" customHeight="1">
      <c r="A251" s="40"/>
      <c r="B251" s="40"/>
      <c r="C251" s="40"/>
      <c r="D251" s="40"/>
      <c r="E251" s="40"/>
      <c r="F251" s="40"/>
    </row>
    <row r="252" ht="15.75" customHeight="1">
      <c r="A252" s="40"/>
      <c r="B252" s="40"/>
      <c r="C252" s="40"/>
      <c r="D252" s="40"/>
      <c r="E252" s="40"/>
      <c r="F252" s="40"/>
    </row>
    <row r="253" ht="15.75" customHeight="1">
      <c r="A253" s="40"/>
      <c r="B253" s="40"/>
      <c r="C253" s="40"/>
      <c r="D253" s="40"/>
      <c r="E253" s="40"/>
      <c r="F253" s="40"/>
    </row>
    <row r="254" ht="15.75" customHeight="1">
      <c r="A254" s="40"/>
      <c r="B254" s="40"/>
      <c r="C254" s="40"/>
      <c r="D254" s="40"/>
      <c r="E254" s="40"/>
      <c r="F254" s="40"/>
    </row>
    <row r="255" ht="15.75" customHeight="1">
      <c r="A255" s="40"/>
      <c r="B255" s="40"/>
      <c r="C255" s="40"/>
      <c r="D255" s="40"/>
      <c r="E255" s="40"/>
      <c r="F255" s="40"/>
    </row>
    <row r="256" ht="15.75" customHeight="1">
      <c r="A256" s="40"/>
      <c r="B256" s="40"/>
      <c r="C256" s="40"/>
      <c r="D256" s="40"/>
      <c r="E256" s="40"/>
      <c r="F256" s="40"/>
    </row>
    <row r="257" ht="15.75" customHeight="1">
      <c r="A257" s="40"/>
      <c r="B257" s="40"/>
      <c r="C257" s="40"/>
      <c r="D257" s="40"/>
      <c r="E257" s="40"/>
      <c r="F257" s="40"/>
    </row>
    <row r="258" ht="15.75" customHeight="1">
      <c r="A258" s="40"/>
      <c r="B258" s="40"/>
      <c r="C258" s="40"/>
      <c r="D258" s="40"/>
      <c r="E258" s="40"/>
      <c r="F258" s="40"/>
    </row>
    <row r="259" ht="15.75" customHeight="1">
      <c r="A259" s="40"/>
      <c r="B259" s="40"/>
      <c r="C259" s="40"/>
      <c r="D259" s="40"/>
      <c r="E259" s="40"/>
      <c r="F259" s="40"/>
    </row>
    <row r="260" ht="15.75" customHeight="1">
      <c r="A260" s="40"/>
      <c r="B260" s="40"/>
      <c r="C260" s="40"/>
      <c r="D260" s="40"/>
      <c r="E260" s="40"/>
      <c r="F260" s="40"/>
    </row>
    <row r="261" ht="15.75" customHeight="1">
      <c r="A261" s="40"/>
      <c r="B261" s="40"/>
      <c r="C261" s="40"/>
      <c r="D261" s="40"/>
      <c r="E261" s="40"/>
      <c r="F261" s="40"/>
    </row>
    <row r="262" ht="15.75" customHeight="1">
      <c r="A262" s="40"/>
      <c r="B262" s="40"/>
      <c r="C262" s="40"/>
      <c r="D262" s="40"/>
      <c r="E262" s="40"/>
      <c r="F262" s="40"/>
    </row>
    <row r="263" ht="15.75" customHeight="1">
      <c r="A263" s="40"/>
      <c r="B263" s="40"/>
      <c r="C263" s="40"/>
      <c r="D263" s="40"/>
      <c r="E263" s="40"/>
      <c r="F263" s="40"/>
    </row>
    <row r="264" ht="15.75" customHeight="1">
      <c r="A264" s="40"/>
      <c r="B264" s="40"/>
      <c r="C264" s="40"/>
      <c r="D264" s="40"/>
      <c r="E264" s="40"/>
      <c r="F264" s="40"/>
    </row>
    <row r="265" ht="15.75" customHeight="1">
      <c r="A265" s="40"/>
      <c r="B265" s="40"/>
      <c r="C265" s="40"/>
      <c r="D265" s="40"/>
      <c r="E265" s="40"/>
      <c r="F265" s="40"/>
    </row>
    <row r="266" ht="15.75" customHeight="1">
      <c r="A266" s="40"/>
      <c r="B266" s="40"/>
      <c r="C266" s="40"/>
      <c r="D266" s="40"/>
      <c r="E266" s="40"/>
      <c r="F266" s="40"/>
    </row>
    <row r="267" ht="15.75" customHeight="1">
      <c r="A267" s="40"/>
      <c r="B267" s="40"/>
      <c r="C267" s="40"/>
      <c r="D267" s="40"/>
      <c r="E267" s="40"/>
      <c r="F267" s="40"/>
    </row>
    <row r="268" ht="15.75" customHeight="1">
      <c r="A268" s="40"/>
      <c r="B268" s="40"/>
      <c r="C268" s="40"/>
      <c r="D268" s="40"/>
      <c r="E268" s="40"/>
      <c r="F268" s="40"/>
    </row>
    <row r="269" ht="15.75" customHeight="1">
      <c r="A269" s="40"/>
      <c r="B269" s="40"/>
      <c r="C269" s="40"/>
      <c r="D269" s="40"/>
      <c r="E269" s="40"/>
      <c r="F269" s="40"/>
    </row>
    <row r="270" ht="15.75" customHeight="1">
      <c r="A270" s="40"/>
      <c r="B270" s="40"/>
      <c r="C270" s="40"/>
      <c r="D270" s="40"/>
      <c r="E270" s="40"/>
      <c r="F270" s="40"/>
    </row>
    <row r="271" ht="15.75" customHeight="1">
      <c r="A271" s="40"/>
      <c r="B271" s="40"/>
      <c r="C271" s="40"/>
      <c r="D271" s="40"/>
      <c r="E271" s="40"/>
      <c r="F271" s="40"/>
    </row>
    <row r="272" ht="15.75" customHeight="1">
      <c r="A272" s="40"/>
      <c r="B272" s="40"/>
      <c r="C272" s="40"/>
      <c r="D272" s="40"/>
      <c r="E272" s="40"/>
      <c r="F272" s="40"/>
    </row>
    <row r="273" ht="15.75" customHeight="1">
      <c r="A273" s="40"/>
      <c r="B273" s="40"/>
      <c r="C273" s="40"/>
      <c r="D273" s="40"/>
      <c r="E273" s="40"/>
      <c r="F273" s="40"/>
    </row>
    <row r="274" ht="15.75" customHeight="1">
      <c r="A274" s="40"/>
      <c r="B274" s="40"/>
      <c r="C274" s="40"/>
      <c r="D274" s="40"/>
      <c r="E274" s="40"/>
      <c r="F274" s="40"/>
    </row>
    <row r="275" ht="15.75" customHeight="1">
      <c r="A275" s="40"/>
      <c r="B275" s="40"/>
      <c r="C275" s="40"/>
      <c r="D275" s="40"/>
      <c r="E275" s="40"/>
      <c r="F275" s="40"/>
    </row>
    <row r="276" ht="15.75" customHeight="1">
      <c r="A276" s="40"/>
      <c r="B276" s="40"/>
      <c r="C276" s="40"/>
      <c r="D276" s="40"/>
      <c r="E276" s="40"/>
      <c r="F276" s="40"/>
    </row>
    <row r="277" ht="15.75" customHeight="1">
      <c r="A277" s="40"/>
      <c r="B277" s="40"/>
      <c r="C277" s="40"/>
      <c r="D277" s="40"/>
      <c r="E277" s="40"/>
      <c r="F277" s="40"/>
    </row>
    <row r="278" ht="15.75" customHeight="1">
      <c r="A278" s="40"/>
      <c r="B278" s="40"/>
      <c r="C278" s="40"/>
      <c r="D278" s="40"/>
      <c r="E278" s="40"/>
      <c r="F278" s="40"/>
    </row>
    <row r="279" ht="15.75" customHeight="1">
      <c r="A279" s="40"/>
      <c r="B279" s="40"/>
      <c r="C279" s="40"/>
      <c r="D279" s="40"/>
      <c r="E279" s="40"/>
      <c r="F279" s="40"/>
    </row>
    <row r="280" ht="15.75" customHeight="1">
      <c r="A280" s="40"/>
      <c r="B280" s="40"/>
      <c r="C280" s="40"/>
      <c r="D280" s="40"/>
      <c r="E280" s="40"/>
      <c r="F280" s="40"/>
    </row>
    <row r="281" ht="15.75" customHeight="1">
      <c r="A281" s="40"/>
      <c r="B281" s="40"/>
      <c r="C281" s="40"/>
      <c r="D281" s="40"/>
      <c r="E281" s="40"/>
      <c r="F281" s="40"/>
    </row>
    <row r="282" ht="15.75" customHeight="1">
      <c r="A282" s="40"/>
      <c r="B282" s="40"/>
      <c r="C282" s="40"/>
      <c r="D282" s="40"/>
      <c r="E282" s="40"/>
      <c r="F282" s="40"/>
    </row>
    <row r="283" ht="15.75" customHeight="1">
      <c r="A283" s="40"/>
      <c r="B283" s="40"/>
      <c r="C283" s="40"/>
      <c r="D283" s="40"/>
      <c r="E283" s="40"/>
      <c r="F283" s="40"/>
    </row>
    <row r="284" ht="15.75" customHeight="1">
      <c r="A284" s="40"/>
      <c r="B284" s="40"/>
      <c r="C284" s="40"/>
      <c r="D284" s="40"/>
      <c r="E284" s="40"/>
      <c r="F284" s="40"/>
    </row>
    <row r="285" ht="15.75" customHeight="1">
      <c r="A285" s="40"/>
      <c r="B285" s="40"/>
      <c r="C285" s="40"/>
      <c r="D285" s="40"/>
      <c r="E285" s="40"/>
      <c r="F285" s="40"/>
    </row>
    <row r="286" ht="15.75" customHeight="1">
      <c r="A286" s="40"/>
      <c r="B286" s="40"/>
      <c r="C286" s="40"/>
      <c r="D286" s="40"/>
      <c r="E286" s="40"/>
      <c r="F286" s="40"/>
    </row>
    <row r="287" ht="15.75" customHeight="1">
      <c r="A287" s="40"/>
      <c r="B287" s="40"/>
      <c r="C287" s="40"/>
      <c r="D287" s="40"/>
      <c r="E287" s="40"/>
      <c r="F287" s="40"/>
    </row>
    <row r="288" ht="15.75" customHeight="1">
      <c r="A288" s="40"/>
      <c r="B288" s="40"/>
      <c r="C288" s="40"/>
      <c r="D288" s="40"/>
      <c r="E288" s="40"/>
      <c r="F288" s="40"/>
    </row>
    <row r="289" ht="15.75" customHeight="1">
      <c r="A289" s="40"/>
      <c r="B289" s="40"/>
      <c r="C289" s="40"/>
      <c r="D289" s="40"/>
      <c r="E289" s="40"/>
      <c r="F289" s="40"/>
    </row>
    <row r="290" ht="15.75" customHeight="1">
      <c r="A290" s="40"/>
      <c r="B290" s="40"/>
      <c r="C290" s="40"/>
      <c r="D290" s="40"/>
      <c r="E290" s="40"/>
      <c r="F290" s="40"/>
    </row>
    <row r="291" ht="15.75" customHeight="1">
      <c r="A291" s="40"/>
      <c r="B291" s="40"/>
      <c r="C291" s="40"/>
      <c r="D291" s="40"/>
      <c r="E291" s="40"/>
      <c r="F291" s="40"/>
    </row>
    <row r="292" ht="15.75" customHeight="1">
      <c r="A292" s="40"/>
      <c r="B292" s="40"/>
      <c r="C292" s="40"/>
      <c r="D292" s="40"/>
      <c r="E292" s="40"/>
      <c r="F292" s="40"/>
    </row>
    <row r="293" ht="15.75" customHeight="1">
      <c r="A293" s="40"/>
      <c r="B293" s="40"/>
      <c r="C293" s="40"/>
      <c r="D293" s="40"/>
      <c r="E293" s="40"/>
      <c r="F293" s="40"/>
    </row>
    <row r="294" ht="15.75" customHeight="1">
      <c r="A294" s="40"/>
      <c r="B294" s="40"/>
      <c r="C294" s="40"/>
      <c r="D294" s="40"/>
      <c r="E294" s="40"/>
      <c r="F294" s="40"/>
    </row>
    <row r="295" ht="15.75" customHeight="1">
      <c r="A295" s="40"/>
      <c r="B295" s="40"/>
      <c r="C295" s="40"/>
      <c r="D295" s="40"/>
      <c r="E295" s="40"/>
      <c r="F295" s="40"/>
    </row>
    <row r="296" ht="15.75" customHeight="1">
      <c r="A296" s="40"/>
      <c r="B296" s="40"/>
      <c r="C296" s="40"/>
      <c r="D296" s="40"/>
      <c r="E296" s="40"/>
      <c r="F296" s="40"/>
    </row>
    <row r="297" ht="15.75" customHeight="1">
      <c r="A297" s="40"/>
      <c r="B297" s="40"/>
      <c r="C297" s="40"/>
      <c r="D297" s="40"/>
      <c r="E297" s="40"/>
      <c r="F297" s="40"/>
    </row>
    <row r="298" ht="15.75" customHeight="1">
      <c r="A298" s="40"/>
      <c r="B298" s="40"/>
      <c r="C298" s="40"/>
      <c r="D298" s="40"/>
      <c r="E298" s="40"/>
      <c r="F298" s="40"/>
    </row>
    <row r="299" ht="15.75" customHeight="1">
      <c r="A299" s="40"/>
      <c r="B299" s="40"/>
      <c r="C299" s="40"/>
      <c r="D299" s="40"/>
      <c r="E299" s="40"/>
      <c r="F299" s="40"/>
    </row>
    <row r="300" ht="15.75" customHeight="1">
      <c r="A300" s="40"/>
      <c r="B300" s="40"/>
      <c r="C300" s="40"/>
      <c r="D300" s="40"/>
      <c r="E300" s="40"/>
      <c r="F300" s="40"/>
    </row>
    <row r="301" ht="15.75" customHeight="1">
      <c r="A301" s="40"/>
      <c r="B301" s="40"/>
      <c r="C301" s="40"/>
      <c r="D301" s="40"/>
      <c r="E301" s="40"/>
      <c r="F301" s="40"/>
    </row>
    <row r="302" ht="15.75" customHeight="1">
      <c r="A302" s="40"/>
      <c r="B302" s="40"/>
      <c r="C302" s="40"/>
      <c r="D302" s="40"/>
      <c r="E302" s="40"/>
      <c r="F302" s="40"/>
    </row>
    <row r="303" ht="15.75" customHeight="1">
      <c r="A303" s="40"/>
      <c r="B303" s="40"/>
      <c r="C303" s="40"/>
      <c r="D303" s="40"/>
      <c r="E303" s="40"/>
      <c r="F303" s="40"/>
    </row>
    <row r="304" ht="15.75" customHeight="1">
      <c r="A304" s="40"/>
      <c r="B304" s="40"/>
      <c r="C304" s="40"/>
      <c r="D304" s="40"/>
      <c r="E304" s="40"/>
      <c r="F304" s="40"/>
    </row>
    <row r="305" ht="15.75" customHeight="1">
      <c r="A305" s="40"/>
      <c r="B305" s="40"/>
      <c r="C305" s="40"/>
      <c r="D305" s="40"/>
      <c r="E305" s="40"/>
      <c r="F305" s="40"/>
    </row>
    <row r="306" ht="15.75" customHeight="1">
      <c r="A306" s="40"/>
      <c r="B306" s="40"/>
      <c r="C306" s="40"/>
      <c r="D306" s="40"/>
      <c r="E306" s="40"/>
      <c r="F306" s="40"/>
    </row>
    <row r="307" ht="15.75" customHeight="1">
      <c r="A307" s="40"/>
      <c r="B307" s="40"/>
      <c r="C307" s="40"/>
      <c r="D307" s="40"/>
      <c r="E307" s="40"/>
      <c r="F307" s="40"/>
    </row>
    <row r="308" ht="15.75" customHeight="1">
      <c r="A308" s="40"/>
      <c r="B308" s="40"/>
      <c r="C308" s="40"/>
      <c r="D308" s="40"/>
      <c r="E308" s="40"/>
      <c r="F308" s="40"/>
    </row>
    <row r="309" ht="15.75" customHeight="1">
      <c r="A309" s="40"/>
      <c r="B309" s="40"/>
      <c r="C309" s="40"/>
      <c r="D309" s="40"/>
      <c r="E309" s="40"/>
      <c r="F309" s="40"/>
    </row>
    <row r="310" ht="15.75" customHeight="1">
      <c r="A310" s="40"/>
      <c r="B310" s="40"/>
      <c r="C310" s="40"/>
      <c r="D310" s="40"/>
      <c r="E310" s="40"/>
      <c r="F310" s="40"/>
    </row>
    <row r="311" ht="15.75" customHeight="1">
      <c r="A311" s="40"/>
      <c r="B311" s="40"/>
      <c r="C311" s="40"/>
      <c r="D311" s="40"/>
      <c r="E311" s="40"/>
      <c r="F311" s="40"/>
    </row>
    <row r="312" ht="15.75" customHeight="1">
      <c r="A312" s="40"/>
      <c r="B312" s="40"/>
      <c r="C312" s="40"/>
      <c r="D312" s="40"/>
      <c r="E312" s="40"/>
      <c r="F312" s="40"/>
    </row>
    <row r="313" ht="15.75" customHeight="1">
      <c r="A313" s="40"/>
      <c r="B313" s="40"/>
      <c r="C313" s="40"/>
      <c r="D313" s="40"/>
      <c r="E313" s="40"/>
      <c r="F313" s="40"/>
    </row>
    <row r="314" ht="15.75" customHeight="1">
      <c r="A314" s="40"/>
      <c r="B314" s="40"/>
      <c r="C314" s="40"/>
      <c r="D314" s="40"/>
      <c r="E314" s="40"/>
      <c r="F314" s="40"/>
    </row>
    <row r="315" ht="15.75" customHeight="1">
      <c r="A315" s="40"/>
      <c r="B315" s="40"/>
      <c r="C315" s="40"/>
      <c r="D315" s="40"/>
      <c r="E315" s="40"/>
      <c r="F315" s="40"/>
    </row>
    <row r="316" ht="15.75" customHeight="1">
      <c r="A316" s="40"/>
      <c r="B316" s="40"/>
      <c r="C316" s="40"/>
      <c r="D316" s="40"/>
      <c r="E316" s="40"/>
      <c r="F316" s="40"/>
    </row>
    <row r="317" ht="15.75" customHeight="1">
      <c r="A317" s="40"/>
      <c r="B317" s="40"/>
      <c r="C317" s="40"/>
      <c r="D317" s="40"/>
      <c r="E317" s="40"/>
      <c r="F317" s="40"/>
    </row>
    <row r="318" ht="15.75" customHeight="1">
      <c r="A318" s="40"/>
      <c r="B318" s="40"/>
      <c r="C318" s="40"/>
      <c r="D318" s="40"/>
      <c r="E318" s="40"/>
      <c r="F318" s="40"/>
    </row>
    <row r="319" ht="15.75" customHeight="1">
      <c r="A319" s="40"/>
      <c r="B319" s="40"/>
      <c r="C319" s="40"/>
      <c r="D319" s="40"/>
      <c r="E319" s="40"/>
      <c r="F319" s="40"/>
    </row>
    <row r="320" ht="15.75" customHeight="1">
      <c r="A320" s="40"/>
      <c r="B320" s="40"/>
      <c r="C320" s="40"/>
      <c r="D320" s="40"/>
      <c r="E320" s="40"/>
      <c r="F320" s="40"/>
    </row>
    <row r="321" ht="15.75" customHeight="1">
      <c r="A321" s="40"/>
      <c r="B321" s="40"/>
      <c r="C321" s="40"/>
      <c r="D321" s="40"/>
      <c r="E321" s="40"/>
      <c r="F321" s="40"/>
    </row>
    <row r="322" ht="15.75" customHeight="1">
      <c r="A322" s="40"/>
      <c r="B322" s="40"/>
      <c r="C322" s="40"/>
      <c r="D322" s="40"/>
      <c r="E322" s="40"/>
      <c r="F322" s="40"/>
    </row>
    <row r="323" ht="15.75" customHeight="1">
      <c r="A323" s="40"/>
      <c r="B323" s="40"/>
      <c r="C323" s="40"/>
      <c r="D323" s="40"/>
      <c r="E323" s="40"/>
      <c r="F323" s="40"/>
    </row>
    <row r="324" ht="15.75" customHeight="1">
      <c r="A324" s="40"/>
      <c r="B324" s="40"/>
      <c r="C324" s="40"/>
      <c r="D324" s="40"/>
      <c r="E324" s="40"/>
      <c r="F324" s="40"/>
    </row>
    <row r="325" ht="15.75" customHeight="1">
      <c r="A325" s="40"/>
      <c r="B325" s="40"/>
      <c r="C325" s="40"/>
      <c r="D325" s="40"/>
      <c r="E325" s="40"/>
      <c r="F325" s="40"/>
    </row>
    <row r="326" ht="15.75" customHeight="1">
      <c r="A326" s="40"/>
      <c r="B326" s="40"/>
      <c r="C326" s="40"/>
      <c r="D326" s="40"/>
      <c r="E326" s="40"/>
      <c r="F326" s="40"/>
    </row>
    <row r="327" ht="15.75" customHeight="1">
      <c r="A327" s="40"/>
      <c r="B327" s="40"/>
      <c r="C327" s="40"/>
      <c r="D327" s="40"/>
      <c r="E327" s="40"/>
      <c r="F327" s="40"/>
    </row>
    <row r="328" ht="15.75" customHeight="1">
      <c r="A328" s="40"/>
      <c r="B328" s="40"/>
      <c r="C328" s="40"/>
      <c r="D328" s="40"/>
      <c r="E328" s="40"/>
      <c r="F328" s="40"/>
    </row>
    <row r="329" ht="15.75" customHeight="1">
      <c r="A329" s="40"/>
      <c r="B329" s="40"/>
      <c r="C329" s="40"/>
      <c r="D329" s="40"/>
      <c r="E329" s="40"/>
      <c r="F329" s="40"/>
    </row>
    <row r="330" ht="15.75" customHeight="1">
      <c r="A330" s="40"/>
      <c r="B330" s="40"/>
      <c r="C330" s="40"/>
      <c r="D330" s="40"/>
      <c r="E330" s="40"/>
      <c r="F330" s="40"/>
    </row>
    <row r="331" ht="15.75" customHeight="1">
      <c r="A331" s="40"/>
      <c r="B331" s="40"/>
      <c r="C331" s="40"/>
      <c r="D331" s="40"/>
      <c r="E331" s="40"/>
      <c r="F331" s="40"/>
    </row>
    <row r="332" ht="15.75" customHeight="1">
      <c r="A332" s="40"/>
      <c r="B332" s="40"/>
      <c r="C332" s="40"/>
      <c r="D332" s="40"/>
      <c r="E332" s="40"/>
      <c r="F332" s="40"/>
    </row>
    <row r="333" ht="15.75" customHeight="1">
      <c r="A333" s="40"/>
      <c r="B333" s="40"/>
      <c r="C333" s="40"/>
      <c r="D333" s="40"/>
      <c r="E333" s="40"/>
      <c r="F333" s="40"/>
    </row>
    <row r="334" ht="15.75" customHeight="1">
      <c r="A334" s="40"/>
      <c r="B334" s="40"/>
      <c r="C334" s="40"/>
      <c r="D334" s="40"/>
      <c r="E334" s="40"/>
      <c r="F334" s="40"/>
    </row>
    <row r="335" ht="15.75" customHeight="1">
      <c r="A335" s="40"/>
      <c r="B335" s="40"/>
      <c r="C335" s="40"/>
      <c r="D335" s="40"/>
      <c r="E335" s="40"/>
      <c r="F335" s="40"/>
    </row>
    <row r="336" ht="15.75" customHeight="1">
      <c r="A336" s="40"/>
      <c r="B336" s="40"/>
      <c r="C336" s="40"/>
      <c r="D336" s="40"/>
      <c r="E336" s="40"/>
      <c r="F336" s="40"/>
    </row>
    <row r="337" ht="15.75" customHeight="1">
      <c r="A337" s="40"/>
      <c r="B337" s="40"/>
      <c r="C337" s="40"/>
      <c r="D337" s="40"/>
      <c r="E337" s="40"/>
      <c r="F337" s="40"/>
    </row>
    <row r="338" ht="15.75" customHeight="1">
      <c r="A338" s="40"/>
      <c r="B338" s="40"/>
      <c r="C338" s="40"/>
      <c r="D338" s="40"/>
      <c r="E338" s="40"/>
      <c r="F338" s="40"/>
    </row>
    <row r="339" ht="15.75" customHeight="1">
      <c r="A339" s="40"/>
      <c r="B339" s="40"/>
      <c r="C339" s="40"/>
      <c r="D339" s="40"/>
      <c r="E339" s="40"/>
      <c r="F339" s="40"/>
    </row>
    <row r="340" ht="15.75" customHeight="1">
      <c r="A340" s="40"/>
      <c r="B340" s="40"/>
      <c r="C340" s="40"/>
      <c r="D340" s="40"/>
      <c r="E340" s="40"/>
      <c r="F340" s="40"/>
    </row>
    <row r="341" ht="15.75" customHeight="1">
      <c r="A341" s="40"/>
      <c r="B341" s="40"/>
      <c r="C341" s="40"/>
      <c r="D341" s="40"/>
      <c r="E341" s="40"/>
      <c r="F341" s="40"/>
    </row>
    <row r="342" ht="15.75" customHeight="1">
      <c r="A342" s="40"/>
      <c r="B342" s="40"/>
      <c r="C342" s="40"/>
      <c r="D342" s="40"/>
      <c r="E342" s="40"/>
      <c r="F342" s="40"/>
    </row>
    <row r="343" ht="15.75" customHeight="1">
      <c r="A343" s="40"/>
      <c r="B343" s="40"/>
      <c r="C343" s="40"/>
      <c r="D343" s="40"/>
      <c r="E343" s="40"/>
      <c r="F343" s="40"/>
    </row>
    <row r="344" ht="15.75" customHeight="1">
      <c r="A344" s="40"/>
      <c r="B344" s="40"/>
      <c r="C344" s="40"/>
      <c r="D344" s="40"/>
      <c r="E344" s="40"/>
      <c r="F344" s="40"/>
    </row>
    <row r="345" ht="15.75" customHeight="1">
      <c r="A345" s="40"/>
      <c r="B345" s="40"/>
      <c r="C345" s="40"/>
      <c r="D345" s="40"/>
      <c r="E345" s="40"/>
      <c r="F345" s="40"/>
    </row>
    <row r="346" ht="15.75" customHeight="1">
      <c r="A346" s="40"/>
      <c r="B346" s="40"/>
      <c r="C346" s="40"/>
      <c r="D346" s="40"/>
      <c r="E346" s="40"/>
      <c r="F346" s="40"/>
    </row>
    <row r="347" ht="15.75" customHeight="1">
      <c r="A347" s="40"/>
      <c r="B347" s="40"/>
      <c r="C347" s="40"/>
      <c r="D347" s="40"/>
      <c r="E347" s="40"/>
      <c r="F347" s="40"/>
    </row>
    <row r="348" ht="15.75" customHeight="1">
      <c r="A348" s="40"/>
      <c r="B348" s="40"/>
      <c r="C348" s="40"/>
      <c r="D348" s="40"/>
      <c r="E348" s="40"/>
      <c r="F348" s="40"/>
    </row>
    <row r="349" ht="15.75" customHeight="1">
      <c r="A349" s="40"/>
      <c r="B349" s="40"/>
      <c r="C349" s="40"/>
      <c r="D349" s="40"/>
      <c r="E349" s="40"/>
      <c r="F349" s="40"/>
    </row>
    <row r="350" ht="15.75" customHeight="1">
      <c r="A350" s="40"/>
      <c r="B350" s="40"/>
      <c r="C350" s="40"/>
      <c r="D350" s="40"/>
      <c r="E350" s="40"/>
      <c r="F350" s="40"/>
    </row>
    <row r="351" ht="15.75" customHeight="1">
      <c r="A351" s="40"/>
      <c r="B351" s="40"/>
      <c r="C351" s="40"/>
      <c r="D351" s="40"/>
      <c r="E351" s="40"/>
      <c r="F351" s="40"/>
    </row>
    <row r="352" ht="15.75" customHeight="1">
      <c r="A352" s="40"/>
      <c r="B352" s="40"/>
      <c r="C352" s="40"/>
      <c r="D352" s="40"/>
      <c r="E352" s="40"/>
      <c r="F352" s="40"/>
    </row>
    <row r="353" ht="15.75" customHeight="1">
      <c r="A353" s="40"/>
      <c r="B353" s="40"/>
      <c r="C353" s="40"/>
      <c r="D353" s="40"/>
      <c r="E353" s="40"/>
      <c r="F353" s="40"/>
    </row>
    <row r="354" ht="15.75" customHeight="1">
      <c r="A354" s="40"/>
      <c r="B354" s="40"/>
      <c r="C354" s="40"/>
      <c r="D354" s="40"/>
      <c r="E354" s="40"/>
      <c r="F354" s="40"/>
    </row>
    <row r="355" ht="15.75" customHeight="1">
      <c r="A355" s="40"/>
      <c r="B355" s="40"/>
      <c r="C355" s="40"/>
      <c r="D355" s="40"/>
      <c r="E355" s="40"/>
      <c r="F355" s="40"/>
    </row>
    <row r="356" ht="15.75" customHeight="1">
      <c r="A356" s="40"/>
      <c r="B356" s="40"/>
      <c r="C356" s="40"/>
      <c r="D356" s="40"/>
      <c r="E356" s="40"/>
      <c r="F356" s="40"/>
    </row>
    <row r="357" ht="15.75" customHeight="1">
      <c r="A357" s="40"/>
      <c r="B357" s="40"/>
      <c r="C357" s="40"/>
      <c r="D357" s="40"/>
      <c r="E357" s="40"/>
      <c r="F357" s="40"/>
    </row>
    <row r="358" ht="15.75" customHeight="1">
      <c r="A358" s="40"/>
      <c r="B358" s="40"/>
      <c r="C358" s="40"/>
      <c r="D358" s="40"/>
      <c r="E358" s="40"/>
      <c r="F358" s="40"/>
    </row>
    <row r="359" ht="15.75" customHeight="1">
      <c r="A359" s="40"/>
      <c r="B359" s="40"/>
      <c r="C359" s="40"/>
      <c r="D359" s="40"/>
      <c r="E359" s="40"/>
      <c r="F359" s="40"/>
    </row>
    <row r="360" ht="15.75" customHeight="1">
      <c r="A360" s="40"/>
      <c r="B360" s="40"/>
      <c r="C360" s="40"/>
      <c r="D360" s="40"/>
      <c r="E360" s="40"/>
      <c r="F360" s="40"/>
    </row>
    <row r="361" ht="15.75" customHeight="1">
      <c r="A361" s="40"/>
      <c r="B361" s="40"/>
      <c r="C361" s="40"/>
      <c r="D361" s="40"/>
      <c r="E361" s="40"/>
      <c r="F361" s="40"/>
    </row>
    <row r="362" ht="15.75" customHeight="1">
      <c r="A362" s="40"/>
      <c r="B362" s="40"/>
      <c r="C362" s="40"/>
      <c r="D362" s="40"/>
      <c r="E362" s="40"/>
      <c r="F362" s="40"/>
    </row>
    <row r="363" ht="15.75" customHeight="1">
      <c r="A363" s="40"/>
      <c r="B363" s="40"/>
      <c r="C363" s="40"/>
      <c r="D363" s="40"/>
      <c r="E363" s="40"/>
      <c r="F363" s="40"/>
    </row>
    <row r="364" ht="15.75" customHeight="1">
      <c r="A364" s="40"/>
      <c r="B364" s="40"/>
      <c r="C364" s="40"/>
      <c r="D364" s="40"/>
      <c r="E364" s="40"/>
      <c r="F364" s="40"/>
    </row>
    <row r="365" ht="15.75" customHeight="1">
      <c r="A365" s="40"/>
      <c r="B365" s="40"/>
      <c r="C365" s="40"/>
      <c r="D365" s="40"/>
      <c r="E365" s="40"/>
      <c r="F365" s="40"/>
    </row>
    <row r="366" ht="15.75" customHeight="1">
      <c r="A366" s="40"/>
      <c r="B366" s="40"/>
      <c r="C366" s="40"/>
      <c r="D366" s="40"/>
      <c r="E366" s="40"/>
      <c r="F366" s="40"/>
    </row>
    <row r="367" ht="15.75" customHeight="1">
      <c r="A367" s="40"/>
      <c r="B367" s="40"/>
      <c r="C367" s="40"/>
      <c r="D367" s="40"/>
      <c r="E367" s="40"/>
      <c r="F367" s="40"/>
    </row>
    <row r="368" ht="15.75" customHeight="1">
      <c r="A368" s="40"/>
      <c r="B368" s="40"/>
      <c r="C368" s="40"/>
      <c r="D368" s="40"/>
      <c r="E368" s="40"/>
      <c r="F368" s="40"/>
    </row>
    <row r="369" ht="15.75" customHeight="1">
      <c r="A369" s="40"/>
      <c r="B369" s="40"/>
      <c r="C369" s="40"/>
      <c r="D369" s="40"/>
      <c r="E369" s="40"/>
      <c r="F369" s="40"/>
    </row>
    <row r="370" ht="15.75" customHeight="1">
      <c r="A370" s="40"/>
      <c r="B370" s="40"/>
      <c r="C370" s="40"/>
      <c r="D370" s="40"/>
      <c r="E370" s="40"/>
      <c r="F370" s="40"/>
    </row>
    <row r="371" ht="15.75" customHeight="1">
      <c r="A371" s="40"/>
      <c r="B371" s="40"/>
      <c r="C371" s="40"/>
      <c r="D371" s="40"/>
      <c r="E371" s="40"/>
      <c r="F371" s="40"/>
    </row>
    <row r="372" ht="15.75" customHeight="1">
      <c r="A372" s="40"/>
      <c r="B372" s="40"/>
      <c r="C372" s="40"/>
      <c r="D372" s="40"/>
      <c r="E372" s="40"/>
      <c r="F372" s="40"/>
    </row>
    <row r="373" ht="15.75" customHeight="1">
      <c r="A373" s="40"/>
      <c r="B373" s="40"/>
      <c r="C373" s="40"/>
      <c r="D373" s="40"/>
      <c r="E373" s="40"/>
      <c r="F373" s="40"/>
    </row>
    <row r="374" ht="15.75" customHeight="1">
      <c r="A374" s="40"/>
      <c r="B374" s="40"/>
      <c r="C374" s="40"/>
      <c r="D374" s="40"/>
      <c r="E374" s="40"/>
      <c r="F374" s="40"/>
    </row>
    <row r="375" ht="15.75" customHeight="1">
      <c r="A375" s="40"/>
      <c r="B375" s="40"/>
      <c r="C375" s="40"/>
      <c r="D375" s="40"/>
      <c r="E375" s="40"/>
      <c r="F375" s="40"/>
    </row>
    <row r="376" ht="15.75" customHeight="1">
      <c r="A376" s="40"/>
      <c r="B376" s="40"/>
      <c r="C376" s="40"/>
      <c r="D376" s="40"/>
      <c r="E376" s="40"/>
      <c r="F376" s="40"/>
    </row>
    <row r="377" ht="15.75" customHeight="1">
      <c r="A377" s="40"/>
      <c r="B377" s="40"/>
      <c r="C377" s="40"/>
      <c r="D377" s="40"/>
      <c r="E377" s="40"/>
      <c r="F377" s="40"/>
    </row>
    <row r="378" ht="15.75" customHeight="1">
      <c r="A378" s="40"/>
      <c r="B378" s="40"/>
      <c r="C378" s="40"/>
      <c r="D378" s="40"/>
      <c r="E378" s="40"/>
      <c r="F378" s="40"/>
    </row>
    <row r="379" ht="15.75" customHeight="1">
      <c r="A379" s="40"/>
      <c r="B379" s="40"/>
      <c r="C379" s="40"/>
      <c r="D379" s="40"/>
      <c r="E379" s="40"/>
      <c r="F379" s="40"/>
    </row>
    <row r="380" ht="15.75" customHeight="1">
      <c r="A380" s="40"/>
      <c r="B380" s="40"/>
      <c r="C380" s="40"/>
      <c r="D380" s="40"/>
      <c r="E380" s="40"/>
      <c r="F380" s="40"/>
    </row>
    <row r="381" ht="15.75" customHeight="1">
      <c r="A381" s="40"/>
      <c r="B381" s="40"/>
      <c r="C381" s="40"/>
      <c r="D381" s="40"/>
      <c r="E381" s="40"/>
      <c r="F381" s="40"/>
    </row>
    <row r="382" ht="15.75" customHeight="1">
      <c r="A382" s="40"/>
      <c r="B382" s="40"/>
      <c r="C382" s="40"/>
      <c r="D382" s="40"/>
      <c r="E382" s="40"/>
      <c r="F382" s="40"/>
    </row>
    <row r="383" ht="15.75" customHeight="1">
      <c r="A383" s="40"/>
      <c r="B383" s="40"/>
      <c r="C383" s="40"/>
      <c r="D383" s="40"/>
      <c r="E383" s="40"/>
      <c r="F383" s="40"/>
    </row>
    <row r="384" ht="15.75" customHeight="1">
      <c r="A384" s="40"/>
      <c r="B384" s="40"/>
      <c r="C384" s="40"/>
      <c r="D384" s="40"/>
      <c r="E384" s="40"/>
      <c r="F384" s="40"/>
    </row>
    <row r="385" ht="15.75" customHeight="1">
      <c r="A385" s="40"/>
      <c r="B385" s="40"/>
      <c r="C385" s="40"/>
      <c r="D385" s="40"/>
      <c r="E385" s="40"/>
      <c r="F385" s="40"/>
    </row>
    <row r="386" ht="15.75" customHeight="1">
      <c r="A386" s="40"/>
      <c r="B386" s="40"/>
      <c r="C386" s="40"/>
      <c r="D386" s="40"/>
      <c r="E386" s="40"/>
      <c r="F386" s="40"/>
    </row>
    <row r="387" ht="15.75" customHeight="1">
      <c r="A387" s="40"/>
      <c r="B387" s="40"/>
      <c r="C387" s="40"/>
      <c r="D387" s="40"/>
      <c r="E387" s="40"/>
      <c r="F387" s="40"/>
    </row>
    <row r="388" ht="15.75" customHeight="1">
      <c r="A388" s="40"/>
      <c r="B388" s="40"/>
      <c r="C388" s="40"/>
      <c r="D388" s="40"/>
      <c r="E388" s="40"/>
      <c r="F388" s="40"/>
    </row>
    <row r="389" ht="15.75" customHeight="1">
      <c r="A389" s="40"/>
      <c r="B389" s="40"/>
      <c r="C389" s="40"/>
      <c r="D389" s="40"/>
      <c r="E389" s="40"/>
      <c r="F389" s="40"/>
    </row>
    <row r="390" ht="15.75" customHeight="1">
      <c r="A390" s="40"/>
      <c r="B390" s="40"/>
      <c r="C390" s="40"/>
      <c r="D390" s="40"/>
      <c r="E390" s="40"/>
      <c r="F390" s="40"/>
    </row>
    <row r="391" ht="15.75" customHeight="1">
      <c r="A391" s="40"/>
      <c r="B391" s="40"/>
      <c r="C391" s="40"/>
      <c r="D391" s="40"/>
      <c r="E391" s="40"/>
      <c r="F391" s="40"/>
    </row>
    <row r="392" ht="15.75" customHeight="1">
      <c r="A392" s="40"/>
      <c r="B392" s="40"/>
      <c r="C392" s="40"/>
      <c r="D392" s="40"/>
      <c r="E392" s="40"/>
      <c r="F392" s="40"/>
    </row>
    <row r="393" ht="15.75" customHeight="1">
      <c r="A393" s="40"/>
      <c r="B393" s="40"/>
      <c r="C393" s="40"/>
      <c r="D393" s="40"/>
      <c r="E393" s="40"/>
      <c r="F393" s="40"/>
    </row>
    <row r="394" ht="15.75" customHeight="1">
      <c r="A394" s="40"/>
      <c r="B394" s="40"/>
      <c r="C394" s="40"/>
      <c r="D394" s="40"/>
      <c r="E394" s="40"/>
      <c r="F394" s="40"/>
    </row>
    <row r="395" ht="15.75" customHeight="1">
      <c r="A395" s="40"/>
      <c r="B395" s="40"/>
      <c r="C395" s="40"/>
      <c r="D395" s="40"/>
      <c r="E395" s="40"/>
      <c r="F395" s="40"/>
    </row>
    <row r="396" ht="15.75" customHeight="1">
      <c r="A396" s="40"/>
      <c r="B396" s="40"/>
      <c r="C396" s="40"/>
      <c r="D396" s="40"/>
      <c r="E396" s="40"/>
      <c r="F396" s="40"/>
    </row>
    <row r="397" ht="15.75" customHeight="1">
      <c r="A397" s="40"/>
      <c r="B397" s="40"/>
      <c r="C397" s="40"/>
      <c r="D397" s="40"/>
      <c r="E397" s="40"/>
      <c r="F397" s="40"/>
    </row>
    <row r="398" ht="15.75" customHeight="1">
      <c r="A398" s="40"/>
      <c r="B398" s="40"/>
      <c r="C398" s="40"/>
      <c r="D398" s="40"/>
      <c r="E398" s="40"/>
      <c r="F398" s="40"/>
    </row>
    <row r="399" ht="15.75" customHeight="1">
      <c r="A399" s="40"/>
      <c r="B399" s="40"/>
      <c r="C399" s="40"/>
      <c r="D399" s="40"/>
      <c r="E399" s="40"/>
      <c r="F399" s="40"/>
    </row>
    <row r="400" ht="15.75" customHeight="1">
      <c r="A400" s="40"/>
      <c r="B400" s="40"/>
      <c r="C400" s="40"/>
      <c r="D400" s="40"/>
      <c r="E400" s="40"/>
      <c r="F400" s="40"/>
    </row>
    <row r="401" ht="15.75" customHeight="1">
      <c r="A401" s="40"/>
      <c r="B401" s="40"/>
      <c r="C401" s="40"/>
      <c r="D401" s="40"/>
      <c r="E401" s="40"/>
      <c r="F401" s="40"/>
    </row>
    <row r="402" ht="15.75" customHeight="1">
      <c r="A402" s="40"/>
      <c r="B402" s="40"/>
      <c r="C402" s="40"/>
      <c r="D402" s="40"/>
      <c r="E402" s="40"/>
      <c r="F402" s="40"/>
    </row>
    <row r="403" ht="15.75" customHeight="1">
      <c r="A403" s="40"/>
      <c r="B403" s="40"/>
      <c r="C403" s="40"/>
      <c r="D403" s="40"/>
      <c r="E403" s="40"/>
      <c r="F403" s="40"/>
    </row>
    <row r="404" ht="15.75" customHeight="1">
      <c r="A404" s="40"/>
      <c r="B404" s="40"/>
      <c r="C404" s="40"/>
      <c r="D404" s="40"/>
      <c r="E404" s="40"/>
      <c r="F404" s="40"/>
    </row>
    <row r="405" ht="15.75" customHeight="1">
      <c r="A405" s="40"/>
      <c r="B405" s="40"/>
      <c r="C405" s="40"/>
      <c r="D405" s="40"/>
      <c r="E405" s="40"/>
      <c r="F405" s="40"/>
    </row>
    <row r="406" ht="15.75" customHeight="1">
      <c r="A406" s="40"/>
      <c r="B406" s="40"/>
      <c r="C406" s="40"/>
      <c r="D406" s="40"/>
      <c r="E406" s="40"/>
      <c r="F406" s="40"/>
    </row>
    <row r="407" ht="15.75" customHeight="1">
      <c r="A407" s="40"/>
      <c r="B407" s="40"/>
      <c r="C407" s="40"/>
      <c r="D407" s="40"/>
      <c r="E407" s="40"/>
      <c r="F407" s="40"/>
    </row>
    <row r="408" ht="15.75" customHeight="1">
      <c r="A408" s="40"/>
      <c r="B408" s="40"/>
      <c r="C408" s="40"/>
      <c r="D408" s="40"/>
      <c r="E408" s="40"/>
      <c r="F408" s="40"/>
    </row>
    <row r="409" ht="15.75" customHeight="1">
      <c r="A409" s="40"/>
      <c r="B409" s="40"/>
      <c r="C409" s="40"/>
      <c r="D409" s="40"/>
      <c r="E409" s="40"/>
      <c r="F409" s="40"/>
    </row>
    <row r="410" ht="15.75" customHeight="1">
      <c r="A410" s="40"/>
      <c r="B410" s="40"/>
      <c r="C410" s="40"/>
      <c r="D410" s="40"/>
      <c r="E410" s="40"/>
      <c r="F410" s="40"/>
    </row>
    <row r="411" ht="15.75" customHeight="1">
      <c r="A411" s="40"/>
      <c r="B411" s="40"/>
      <c r="C411" s="40"/>
      <c r="D411" s="40"/>
      <c r="E411" s="40"/>
      <c r="F411" s="40"/>
    </row>
    <row r="412" ht="15.75" customHeight="1">
      <c r="A412" s="40"/>
      <c r="B412" s="40"/>
      <c r="C412" s="40"/>
      <c r="D412" s="40"/>
      <c r="E412" s="40"/>
      <c r="F412" s="40"/>
    </row>
    <row r="413" ht="15.75" customHeight="1">
      <c r="A413" s="40"/>
      <c r="B413" s="40"/>
      <c r="C413" s="40"/>
      <c r="D413" s="40"/>
      <c r="E413" s="40"/>
      <c r="F413" s="40"/>
    </row>
    <row r="414" ht="15.75" customHeight="1">
      <c r="A414" s="40"/>
      <c r="B414" s="40"/>
      <c r="C414" s="40"/>
      <c r="D414" s="40"/>
      <c r="E414" s="40"/>
      <c r="F414" s="40"/>
    </row>
    <row r="415" ht="15.75" customHeight="1">
      <c r="A415" s="40"/>
      <c r="B415" s="40"/>
      <c r="C415" s="40"/>
      <c r="D415" s="40"/>
      <c r="E415" s="40"/>
      <c r="F415" s="40"/>
    </row>
    <row r="416" ht="15.75" customHeight="1">
      <c r="A416" s="40"/>
      <c r="B416" s="40"/>
      <c r="C416" s="40"/>
      <c r="D416" s="40"/>
      <c r="E416" s="40"/>
      <c r="F416" s="40"/>
    </row>
    <row r="417" ht="15.75" customHeight="1">
      <c r="A417" s="40"/>
      <c r="B417" s="40"/>
      <c r="C417" s="40"/>
      <c r="D417" s="40"/>
      <c r="E417" s="40"/>
      <c r="F417" s="40"/>
    </row>
    <row r="418" ht="15.75" customHeight="1">
      <c r="A418" s="40"/>
      <c r="B418" s="40"/>
      <c r="C418" s="40"/>
      <c r="D418" s="40"/>
      <c r="E418" s="40"/>
      <c r="F418" s="40"/>
    </row>
    <row r="419" ht="15.75" customHeight="1">
      <c r="A419" s="40"/>
      <c r="B419" s="40"/>
      <c r="C419" s="40"/>
      <c r="D419" s="40"/>
      <c r="E419" s="40"/>
      <c r="F419" s="40"/>
    </row>
    <row r="420" ht="15.75" customHeight="1">
      <c r="A420" s="40"/>
      <c r="B420" s="40"/>
      <c r="C420" s="40"/>
      <c r="D420" s="40"/>
      <c r="E420" s="40"/>
      <c r="F420" s="40"/>
    </row>
    <row r="421" ht="15.75" customHeight="1">
      <c r="A421" s="40"/>
      <c r="B421" s="40"/>
      <c r="C421" s="40"/>
      <c r="D421" s="40"/>
      <c r="E421" s="40"/>
      <c r="F421" s="40"/>
    </row>
    <row r="422" ht="15.75" customHeight="1">
      <c r="A422" s="40"/>
      <c r="B422" s="40"/>
      <c r="C422" s="40"/>
      <c r="D422" s="40"/>
      <c r="E422" s="40"/>
      <c r="F422" s="40"/>
    </row>
    <row r="423" ht="15.75" customHeight="1">
      <c r="A423" s="40"/>
      <c r="B423" s="40"/>
      <c r="C423" s="40"/>
      <c r="D423" s="40"/>
      <c r="E423" s="40"/>
      <c r="F423" s="40"/>
    </row>
    <row r="424" ht="15.75" customHeight="1">
      <c r="A424" s="40"/>
      <c r="B424" s="40"/>
      <c r="C424" s="40"/>
      <c r="D424" s="40"/>
      <c r="E424" s="40"/>
      <c r="F424" s="40"/>
    </row>
    <row r="425" ht="15.75" customHeight="1">
      <c r="A425" s="40"/>
      <c r="B425" s="40"/>
      <c r="C425" s="40"/>
      <c r="D425" s="40"/>
      <c r="E425" s="40"/>
      <c r="F425" s="40"/>
    </row>
    <row r="426" ht="15.75" customHeight="1">
      <c r="A426" s="40"/>
      <c r="B426" s="40"/>
      <c r="C426" s="40"/>
      <c r="D426" s="40"/>
      <c r="E426" s="40"/>
      <c r="F426" s="40"/>
    </row>
    <row r="427" ht="15.75" customHeight="1">
      <c r="A427" s="40"/>
      <c r="B427" s="40"/>
      <c r="C427" s="40"/>
      <c r="D427" s="40"/>
      <c r="E427" s="40"/>
      <c r="F427" s="40"/>
    </row>
    <row r="428" ht="15.75" customHeight="1">
      <c r="A428" s="40"/>
      <c r="B428" s="40"/>
      <c r="C428" s="40"/>
      <c r="D428" s="40"/>
      <c r="E428" s="40"/>
      <c r="F428" s="40"/>
    </row>
    <row r="429" ht="15.75" customHeight="1">
      <c r="A429" s="40"/>
      <c r="B429" s="40"/>
      <c r="C429" s="40"/>
      <c r="D429" s="40"/>
      <c r="E429" s="40"/>
      <c r="F429" s="40"/>
    </row>
    <row r="430" ht="15.75" customHeight="1">
      <c r="A430" s="40"/>
      <c r="B430" s="40"/>
      <c r="C430" s="40"/>
      <c r="D430" s="40"/>
      <c r="E430" s="40"/>
      <c r="F430" s="40"/>
    </row>
    <row r="431" ht="15.75" customHeight="1">
      <c r="A431" s="40"/>
      <c r="B431" s="40"/>
      <c r="C431" s="40"/>
      <c r="D431" s="40"/>
      <c r="E431" s="40"/>
      <c r="F431" s="40"/>
    </row>
    <row r="432" ht="15.75" customHeight="1">
      <c r="A432" s="40"/>
      <c r="B432" s="40"/>
      <c r="C432" s="40"/>
      <c r="D432" s="40"/>
      <c r="E432" s="40"/>
      <c r="F432" s="40"/>
    </row>
    <row r="433" ht="15.75" customHeight="1">
      <c r="A433" s="40"/>
      <c r="B433" s="40"/>
      <c r="C433" s="40"/>
      <c r="D433" s="40"/>
      <c r="E433" s="40"/>
      <c r="F433" s="40"/>
    </row>
    <row r="434" ht="15.75" customHeight="1">
      <c r="A434" s="40"/>
      <c r="B434" s="40"/>
      <c r="C434" s="40"/>
      <c r="D434" s="40"/>
      <c r="E434" s="40"/>
      <c r="F434" s="40"/>
    </row>
    <row r="435" ht="15.75" customHeight="1">
      <c r="A435" s="40"/>
      <c r="B435" s="40"/>
      <c r="C435" s="40"/>
      <c r="D435" s="40"/>
      <c r="E435" s="40"/>
      <c r="F435" s="40"/>
    </row>
    <row r="436" ht="15.75" customHeight="1">
      <c r="A436" s="40"/>
      <c r="B436" s="40"/>
      <c r="C436" s="40"/>
      <c r="D436" s="40"/>
      <c r="E436" s="40"/>
      <c r="F436" s="40"/>
    </row>
    <row r="437" ht="15.75" customHeight="1">
      <c r="A437" s="40"/>
      <c r="B437" s="40"/>
      <c r="C437" s="40"/>
      <c r="D437" s="40"/>
      <c r="E437" s="40"/>
      <c r="F437" s="40"/>
    </row>
    <row r="438" ht="15.75" customHeight="1">
      <c r="A438" s="40"/>
      <c r="B438" s="40"/>
      <c r="C438" s="40"/>
      <c r="D438" s="40"/>
      <c r="E438" s="40"/>
      <c r="F438" s="40"/>
    </row>
    <row r="439" ht="15.75" customHeight="1">
      <c r="A439" s="40"/>
      <c r="B439" s="40"/>
      <c r="C439" s="40"/>
      <c r="D439" s="40"/>
      <c r="E439" s="40"/>
      <c r="F439" s="40"/>
    </row>
    <row r="440" ht="15.75" customHeight="1">
      <c r="A440" s="40"/>
      <c r="B440" s="40"/>
      <c r="C440" s="40"/>
      <c r="D440" s="40"/>
      <c r="E440" s="40"/>
      <c r="F440" s="40"/>
    </row>
    <row r="441" ht="15.75" customHeight="1">
      <c r="A441" s="40"/>
      <c r="B441" s="40"/>
      <c r="C441" s="40"/>
      <c r="D441" s="40"/>
      <c r="E441" s="40"/>
      <c r="F441" s="40"/>
    </row>
    <row r="442" ht="15.75" customHeight="1">
      <c r="A442" s="40"/>
      <c r="B442" s="40"/>
      <c r="C442" s="40"/>
      <c r="D442" s="40"/>
      <c r="E442" s="40"/>
      <c r="F442" s="40"/>
    </row>
    <row r="443" ht="15.75" customHeight="1">
      <c r="A443" s="40"/>
      <c r="B443" s="40"/>
      <c r="C443" s="40"/>
      <c r="D443" s="40"/>
      <c r="E443" s="40"/>
      <c r="F443" s="40"/>
    </row>
    <row r="444" ht="15.75" customHeight="1">
      <c r="A444" s="40"/>
      <c r="B444" s="40"/>
      <c r="C444" s="40"/>
      <c r="D444" s="40"/>
      <c r="E444" s="40"/>
      <c r="F444" s="40"/>
    </row>
    <row r="445" ht="15.75" customHeight="1">
      <c r="A445" s="40"/>
      <c r="B445" s="40"/>
      <c r="C445" s="40"/>
      <c r="D445" s="40"/>
      <c r="E445" s="40"/>
      <c r="F445" s="40"/>
    </row>
    <row r="446" ht="15.75" customHeight="1">
      <c r="A446" s="40"/>
      <c r="B446" s="40"/>
      <c r="C446" s="40"/>
      <c r="D446" s="40"/>
      <c r="E446" s="40"/>
      <c r="F446" s="40"/>
    </row>
    <row r="447" ht="15.75" customHeight="1">
      <c r="A447" s="40"/>
      <c r="B447" s="40"/>
      <c r="C447" s="40"/>
      <c r="D447" s="40"/>
      <c r="E447" s="40"/>
      <c r="F447" s="40"/>
    </row>
    <row r="448" ht="15.75" customHeight="1">
      <c r="A448" s="40"/>
      <c r="B448" s="40"/>
      <c r="C448" s="40"/>
      <c r="D448" s="40"/>
      <c r="E448" s="40"/>
      <c r="F448" s="40"/>
    </row>
    <row r="449" ht="15.75" customHeight="1">
      <c r="A449" s="40"/>
      <c r="B449" s="40"/>
      <c r="C449" s="40"/>
      <c r="D449" s="40"/>
      <c r="E449" s="40"/>
      <c r="F449" s="40"/>
    </row>
    <row r="450" ht="15.75" customHeight="1">
      <c r="A450" s="40"/>
      <c r="B450" s="40"/>
      <c r="C450" s="40"/>
      <c r="D450" s="40"/>
      <c r="E450" s="40"/>
      <c r="F450" s="40"/>
    </row>
    <row r="451" ht="15.75" customHeight="1">
      <c r="A451" s="40"/>
      <c r="B451" s="40"/>
      <c r="C451" s="40"/>
      <c r="D451" s="40"/>
      <c r="E451" s="40"/>
      <c r="F451" s="40"/>
    </row>
    <row r="452" ht="15.75" customHeight="1">
      <c r="A452" s="40"/>
      <c r="B452" s="40"/>
      <c r="C452" s="40"/>
      <c r="D452" s="40"/>
      <c r="E452" s="40"/>
      <c r="F452" s="40"/>
    </row>
    <row r="453" ht="15.75" customHeight="1">
      <c r="A453" s="40"/>
      <c r="B453" s="40"/>
      <c r="C453" s="40"/>
      <c r="D453" s="40"/>
      <c r="E453" s="40"/>
      <c r="F453" s="40"/>
    </row>
    <row r="454" ht="15.75" customHeight="1">
      <c r="A454" s="40"/>
      <c r="B454" s="40"/>
      <c r="C454" s="40"/>
      <c r="D454" s="40"/>
      <c r="E454" s="40"/>
      <c r="F454" s="40"/>
    </row>
    <row r="455" ht="15.75" customHeight="1">
      <c r="A455" s="40"/>
      <c r="B455" s="40"/>
      <c r="C455" s="40"/>
      <c r="D455" s="40"/>
      <c r="E455" s="40"/>
      <c r="F455" s="40"/>
    </row>
    <row r="456" ht="15.75" customHeight="1">
      <c r="A456" s="40"/>
      <c r="B456" s="40"/>
      <c r="C456" s="40"/>
      <c r="D456" s="40"/>
      <c r="E456" s="40"/>
      <c r="F456" s="40"/>
    </row>
    <row r="457" ht="15.75" customHeight="1">
      <c r="A457" s="40"/>
      <c r="B457" s="40"/>
      <c r="C457" s="40"/>
      <c r="D457" s="40"/>
      <c r="E457" s="40"/>
      <c r="F457" s="40"/>
    </row>
    <row r="458" ht="15.75" customHeight="1">
      <c r="A458" s="40"/>
      <c r="B458" s="40"/>
      <c r="C458" s="40"/>
      <c r="D458" s="40"/>
      <c r="E458" s="40"/>
      <c r="F458" s="40"/>
    </row>
    <row r="459" ht="15.75" customHeight="1">
      <c r="A459" s="40"/>
      <c r="B459" s="40"/>
      <c r="C459" s="40"/>
      <c r="D459" s="40"/>
      <c r="E459" s="40"/>
      <c r="F459" s="40"/>
    </row>
    <row r="460" ht="15.75" customHeight="1">
      <c r="A460" s="40"/>
      <c r="B460" s="40"/>
      <c r="C460" s="40"/>
      <c r="D460" s="40"/>
      <c r="E460" s="40"/>
      <c r="F460" s="40"/>
    </row>
    <row r="461" ht="15.75" customHeight="1">
      <c r="A461" s="40"/>
      <c r="B461" s="40"/>
      <c r="C461" s="40"/>
      <c r="D461" s="40"/>
      <c r="E461" s="40"/>
      <c r="F461" s="40"/>
    </row>
    <row r="462" ht="15.75" customHeight="1">
      <c r="A462" s="40"/>
      <c r="B462" s="40"/>
      <c r="C462" s="40"/>
      <c r="D462" s="40"/>
      <c r="E462" s="40"/>
      <c r="F462" s="40"/>
    </row>
    <row r="463" ht="15.75" customHeight="1">
      <c r="A463" s="40"/>
      <c r="B463" s="40"/>
      <c r="C463" s="40"/>
      <c r="D463" s="40"/>
      <c r="E463" s="40"/>
      <c r="F463" s="40"/>
    </row>
    <row r="464" ht="15.75" customHeight="1">
      <c r="A464" s="40"/>
      <c r="B464" s="40"/>
      <c r="C464" s="40"/>
      <c r="D464" s="40"/>
      <c r="E464" s="40"/>
      <c r="F464" s="40"/>
    </row>
    <row r="465" ht="15.75" customHeight="1">
      <c r="A465" s="40"/>
      <c r="B465" s="40"/>
      <c r="C465" s="40"/>
      <c r="D465" s="40"/>
      <c r="E465" s="40"/>
      <c r="F465" s="40"/>
    </row>
    <row r="466" ht="15.75" customHeight="1">
      <c r="A466" s="40"/>
      <c r="B466" s="40"/>
      <c r="C466" s="40"/>
      <c r="D466" s="40"/>
      <c r="E466" s="40"/>
      <c r="F466" s="40"/>
    </row>
    <row r="467" ht="15.75" customHeight="1">
      <c r="A467" s="40"/>
      <c r="B467" s="40"/>
      <c r="C467" s="40"/>
      <c r="D467" s="40"/>
      <c r="E467" s="40"/>
      <c r="F467" s="40"/>
    </row>
    <row r="468" ht="15.75" customHeight="1">
      <c r="A468" s="40"/>
      <c r="B468" s="40"/>
      <c r="C468" s="40"/>
      <c r="D468" s="40"/>
      <c r="E468" s="40"/>
      <c r="F468" s="40"/>
    </row>
    <row r="469" ht="15.75" customHeight="1">
      <c r="A469" s="40"/>
      <c r="B469" s="40"/>
      <c r="C469" s="40"/>
      <c r="D469" s="40"/>
      <c r="E469" s="40"/>
      <c r="F469" s="40"/>
    </row>
    <row r="470" ht="15.75" customHeight="1">
      <c r="A470" s="40"/>
      <c r="B470" s="40"/>
      <c r="C470" s="40"/>
      <c r="D470" s="40"/>
      <c r="E470" s="40"/>
      <c r="F470" s="40"/>
    </row>
    <row r="471" ht="15.75" customHeight="1">
      <c r="A471" s="40"/>
      <c r="B471" s="40"/>
      <c r="C471" s="40"/>
      <c r="D471" s="40"/>
      <c r="E471" s="40"/>
      <c r="F471" s="40"/>
    </row>
    <row r="472" ht="15.75" customHeight="1">
      <c r="A472" s="40"/>
      <c r="B472" s="40"/>
      <c r="C472" s="40"/>
      <c r="D472" s="40"/>
      <c r="E472" s="40"/>
      <c r="F472" s="40"/>
    </row>
    <row r="473" ht="15.75" customHeight="1">
      <c r="A473" s="40"/>
      <c r="B473" s="40"/>
      <c r="C473" s="40"/>
      <c r="D473" s="40"/>
      <c r="E473" s="40"/>
      <c r="F473" s="40"/>
    </row>
    <row r="474" ht="15.75" customHeight="1">
      <c r="A474" s="40"/>
      <c r="B474" s="40"/>
      <c r="C474" s="40"/>
      <c r="D474" s="40"/>
      <c r="E474" s="40"/>
      <c r="F474" s="40"/>
    </row>
    <row r="475" ht="15.75" customHeight="1">
      <c r="A475" s="40"/>
      <c r="B475" s="40"/>
      <c r="C475" s="40"/>
      <c r="D475" s="40"/>
      <c r="E475" s="40"/>
      <c r="F475" s="40"/>
    </row>
    <row r="476" ht="15.75" customHeight="1">
      <c r="A476" s="40"/>
      <c r="B476" s="40"/>
      <c r="C476" s="40"/>
      <c r="D476" s="40"/>
      <c r="E476" s="40"/>
      <c r="F476" s="40"/>
    </row>
    <row r="477" ht="15.75" customHeight="1">
      <c r="A477" s="40"/>
      <c r="B477" s="40"/>
      <c r="C477" s="40"/>
      <c r="D477" s="40"/>
      <c r="E477" s="40"/>
      <c r="F477" s="40"/>
    </row>
    <row r="478" ht="15.75" customHeight="1">
      <c r="A478" s="40"/>
      <c r="B478" s="40"/>
      <c r="C478" s="40"/>
      <c r="D478" s="40"/>
      <c r="E478" s="40"/>
      <c r="F478" s="40"/>
    </row>
    <row r="479" ht="15.75" customHeight="1">
      <c r="A479" s="40"/>
      <c r="B479" s="40"/>
      <c r="C479" s="40"/>
      <c r="D479" s="40"/>
      <c r="E479" s="40"/>
      <c r="F479" s="40"/>
    </row>
    <row r="480" ht="15.75" customHeight="1">
      <c r="A480" s="40"/>
      <c r="B480" s="40"/>
      <c r="C480" s="40"/>
      <c r="D480" s="40"/>
      <c r="E480" s="40"/>
      <c r="F480" s="40"/>
    </row>
    <row r="481" ht="15.75" customHeight="1">
      <c r="A481" s="40"/>
      <c r="B481" s="40"/>
      <c r="C481" s="40"/>
      <c r="D481" s="40"/>
      <c r="E481" s="40"/>
      <c r="F481" s="40"/>
    </row>
    <row r="482" ht="15.75" customHeight="1">
      <c r="A482" s="40"/>
      <c r="B482" s="40"/>
      <c r="C482" s="40"/>
      <c r="D482" s="40"/>
      <c r="E482" s="40"/>
      <c r="F482" s="40"/>
    </row>
    <row r="483" ht="15.75" customHeight="1">
      <c r="A483" s="40"/>
      <c r="B483" s="40"/>
      <c r="C483" s="40"/>
      <c r="D483" s="40"/>
      <c r="E483" s="40"/>
      <c r="F483" s="40"/>
    </row>
    <row r="484" ht="15.75" customHeight="1">
      <c r="A484" s="40"/>
      <c r="B484" s="40"/>
      <c r="C484" s="40"/>
      <c r="D484" s="40"/>
      <c r="E484" s="40"/>
      <c r="F484" s="40"/>
    </row>
    <row r="485" ht="15.75" customHeight="1">
      <c r="A485" s="40"/>
      <c r="B485" s="40"/>
      <c r="C485" s="40"/>
      <c r="D485" s="40"/>
      <c r="E485" s="40"/>
      <c r="F485" s="40"/>
    </row>
    <row r="486" ht="15.75" customHeight="1">
      <c r="A486" s="40"/>
      <c r="B486" s="40"/>
      <c r="C486" s="40"/>
      <c r="D486" s="40"/>
      <c r="E486" s="40"/>
      <c r="F486" s="40"/>
    </row>
    <row r="487" ht="15.75" customHeight="1">
      <c r="A487" s="40"/>
      <c r="B487" s="40"/>
      <c r="C487" s="40"/>
      <c r="D487" s="40"/>
      <c r="E487" s="40"/>
      <c r="F487" s="40"/>
    </row>
    <row r="488" ht="15.75" customHeight="1">
      <c r="A488" s="40"/>
      <c r="B488" s="40"/>
      <c r="C488" s="40"/>
      <c r="D488" s="40"/>
      <c r="E488" s="40"/>
      <c r="F488" s="40"/>
    </row>
    <row r="489" ht="15.75" customHeight="1">
      <c r="A489" s="40"/>
      <c r="B489" s="40"/>
      <c r="C489" s="40"/>
      <c r="D489" s="40"/>
      <c r="E489" s="40"/>
      <c r="F489" s="40"/>
    </row>
    <row r="490" ht="15.75" customHeight="1">
      <c r="A490" s="40"/>
      <c r="B490" s="40"/>
      <c r="C490" s="40"/>
      <c r="D490" s="40"/>
      <c r="E490" s="40"/>
      <c r="F490" s="40"/>
    </row>
    <row r="491" ht="15.75" customHeight="1">
      <c r="A491" s="40"/>
      <c r="B491" s="40"/>
      <c r="C491" s="40"/>
      <c r="D491" s="40"/>
      <c r="E491" s="40"/>
      <c r="F491" s="40"/>
    </row>
    <row r="492" ht="15.75" customHeight="1">
      <c r="A492" s="40"/>
      <c r="B492" s="40"/>
      <c r="C492" s="40"/>
      <c r="D492" s="40"/>
      <c r="E492" s="40"/>
      <c r="F492" s="40"/>
    </row>
    <row r="493" ht="15.75" customHeight="1">
      <c r="A493" s="40"/>
      <c r="B493" s="40"/>
      <c r="C493" s="40"/>
      <c r="D493" s="40"/>
      <c r="E493" s="40"/>
      <c r="F493" s="40"/>
    </row>
    <row r="494" ht="15.75" customHeight="1">
      <c r="A494" s="40"/>
      <c r="B494" s="40"/>
      <c r="C494" s="40"/>
      <c r="D494" s="40"/>
      <c r="E494" s="40"/>
      <c r="F494" s="40"/>
    </row>
    <row r="495" ht="15.75" customHeight="1">
      <c r="A495" s="40"/>
      <c r="B495" s="40"/>
      <c r="C495" s="40"/>
      <c r="D495" s="40"/>
      <c r="E495" s="40"/>
      <c r="F495" s="40"/>
    </row>
    <row r="496" ht="15.75" customHeight="1">
      <c r="A496" s="40"/>
      <c r="B496" s="40"/>
      <c r="C496" s="40"/>
      <c r="D496" s="40"/>
      <c r="E496" s="40"/>
      <c r="F496" s="40"/>
    </row>
    <row r="497" ht="15.75" customHeight="1">
      <c r="A497" s="40"/>
      <c r="B497" s="40"/>
      <c r="C497" s="40"/>
      <c r="D497" s="40"/>
      <c r="E497" s="40"/>
      <c r="F497" s="40"/>
    </row>
    <row r="498" ht="15.75" customHeight="1">
      <c r="A498" s="40"/>
      <c r="B498" s="40"/>
      <c r="C498" s="40"/>
      <c r="D498" s="40"/>
      <c r="E498" s="40"/>
      <c r="F498" s="40"/>
    </row>
    <row r="499" ht="15.75" customHeight="1">
      <c r="A499" s="40"/>
      <c r="B499" s="40"/>
      <c r="C499" s="40"/>
      <c r="D499" s="40"/>
      <c r="E499" s="40"/>
      <c r="F499" s="40"/>
    </row>
    <row r="500" ht="15.75" customHeight="1">
      <c r="A500" s="40"/>
      <c r="B500" s="40"/>
      <c r="C500" s="40"/>
      <c r="D500" s="40"/>
      <c r="E500" s="40"/>
      <c r="F500" s="40"/>
    </row>
    <row r="501" ht="15.75" customHeight="1">
      <c r="A501" s="40"/>
      <c r="B501" s="40"/>
      <c r="C501" s="40"/>
      <c r="D501" s="40"/>
      <c r="E501" s="40"/>
      <c r="F501" s="40"/>
    </row>
    <row r="502" ht="15.75" customHeight="1">
      <c r="A502" s="40"/>
      <c r="B502" s="40"/>
      <c r="C502" s="40"/>
      <c r="D502" s="40"/>
      <c r="E502" s="40"/>
      <c r="F502" s="40"/>
    </row>
    <row r="503" ht="15.75" customHeight="1">
      <c r="A503" s="40"/>
      <c r="B503" s="40"/>
      <c r="C503" s="40"/>
      <c r="D503" s="40"/>
      <c r="E503" s="40"/>
      <c r="F503" s="40"/>
    </row>
    <row r="504" ht="15.75" customHeight="1">
      <c r="A504" s="40"/>
      <c r="B504" s="40"/>
      <c r="C504" s="40"/>
      <c r="D504" s="40"/>
      <c r="E504" s="40"/>
      <c r="F504" s="40"/>
    </row>
    <row r="505" ht="15.75" customHeight="1">
      <c r="A505" s="40"/>
      <c r="B505" s="40"/>
      <c r="C505" s="40"/>
      <c r="D505" s="40"/>
      <c r="E505" s="40"/>
      <c r="F505" s="40"/>
    </row>
    <row r="506" ht="15.75" customHeight="1">
      <c r="A506" s="40"/>
      <c r="B506" s="40"/>
      <c r="C506" s="40"/>
      <c r="D506" s="40"/>
      <c r="E506" s="40"/>
      <c r="F506" s="40"/>
    </row>
    <row r="507" ht="15.75" customHeight="1">
      <c r="A507" s="40"/>
      <c r="B507" s="40"/>
      <c r="C507" s="40"/>
      <c r="D507" s="40"/>
      <c r="E507" s="40"/>
      <c r="F507" s="40"/>
    </row>
    <row r="508" ht="15.75" customHeight="1">
      <c r="A508" s="40"/>
      <c r="B508" s="40"/>
      <c r="C508" s="40"/>
      <c r="D508" s="40"/>
      <c r="E508" s="40"/>
      <c r="F508" s="40"/>
    </row>
    <row r="509" ht="15.75" customHeight="1">
      <c r="A509" s="40"/>
      <c r="B509" s="40"/>
      <c r="C509" s="40"/>
      <c r="D509" s="40"/>
      <c r="E509" s="40"/>
      <c r="F509" s="40"/>
    </row>
    <row r="510" ht="15.75" customHeight="1">
      <c r="A510" s="40"/>
      <c r="B510" s="40"/>
      <c r="C510" s="40"/>
      <c r="D510" s="40"/>
      <c r="E510" s="40"/>
      <c r="F510" s="40"/>
    </row>
    <row r="511" ht="15.75" customHeight="1">
      <c r="A511" s="40"/>
      <c r="B511" s="40"/>
      <c r="C511" s="40"/>
      <c r="D511" s="40"/>
      <c r="E511" s="40"/>
      <c r="F511" s="40"/>
    </row>
    <row r="512" ht="15.75" customHeight="1">
      <c r="A512" s="40"/>
      <c r="B512" s="40"/>
      <c r="C512" s="40"/>
      <c r="D512" s="40"/>
      <c r="E512" s="40"/>
      <c r="F512" s="40"/>
    </row>
    <row r="513" ht="15.75" customHeight="1">
      <c r="A513" s="40"/>
      <c r="B513" s="40"/>
      <c r="C513" s="40"/>
      <c r="D513" s="40"/>
      <c r="E513" s="40"/>
      <c r="F513" s="40"/>
    </row>
    <row r="514" ht="15.75" customHeight="1">
      <c r="A514" s="40"/>
      <c r="B514" s="40"/>
      <c r="C514" s="40"/>
      <c r="D514" s="40"/>
      <c r="E514" s="40"/>
      <c r="F514" s="40"/>
    </row>
    <row r="515" ht="15.75" customHeight="1">
      <c r="A515" s="40"/>
      <c r="B515" s="40"/>
      <c r="C515" s="40"/>
      <c r="D515" s="40"/>
      <c r="E515" s="40"/>
      <c r="F515" s="40"/>
    </row>
    <row r="516" ht="15.75" customHeight="1">
      <c r="A516" s="40"/>
      <c r="B516" s="40"/>
      <c r="C516" s="40"/>
      <c r="D516" s="40"/>
      <c r="E516" s="40"/>
      <c r="F516" s="40"/>
    </row>
    <row r="517" ht="15.75" customHeight="1">
      <c r="A517" s="40"/>
      <c r="B517" s="40"/>
      <c r="C517" s="40"/>
      <c r="D517" s="40"/>
      <c r="E517" s="40"/>
      <c r="F517" s="40"/>
    </row>
    <row r="518" ht="15.75" customHeight="1">
      <c r="A518" s="40"/>
      <c r="B518" s="40"/>
      <c r="C518" s="40"/>
      <c r="D518" s="40"/>
      <c r="E518" s="40"/>
      <c r="F518" s="40"/>
    </row>
    <row r="519" ht="15.75" customHeight="1">
      <c r="A519" s="40"/>
      <c r="B519" s="40"/>
      <c r="C519" s="40"/>
      <c r="D519" s="40"/>
      <c r="E519" s="40"/>
      <c r="F519" s="40"/>
    </row>
    <row r="520" ht="15.75" customHeight="1">
      <c r="A520" s="40"/>
      <c r="B520" s="40"/>
      <c r="C520" s="40"/>
      <c r="D520" s="40"/>
      <c r="E520" s="40"/>
      <c r="F520" s="40"/>
    </row>
    <row r="521" ht="15.75" customHeight="1">
      <c r="A521" s="40"/>
      <c r="B521" s="40"/>
      <c r="C521" s="40"/>
      <c r="D521" s="40"/>
      <c r="E521" s="40"/>
      <c r="F521" s="40"/>
    </row>
    <row r="522" ht="15.75" customHeight="1">
      <c r="A522" s="40"/>
      <c r="B522" s="40"/>
      <c r="C522" s="40"/>
      <c r="D522" s="40"/>
      <c r="E522" s="40"/>
      <c r="F522" s="40"/>
    </row>
    <row r="523" ht="15.75" customHeight="1">
      <c r="A523" s="40"/>
      <c r="B523" s="40"/>
      <c r="C523" s="40"/>
      <c r="D523" s="40"/>
      <c r="E523" s="40"/>
      <c r="F523" s="40"/>
    </row>
    <row r="524" ht="15.75" customHeight="1">
      <c r="A524" s="40"/>
      <c r="B524" s="40"/>
      <c r="C524" s="40"/>
      <c r="D524" s="40"/>
      <c r="E524" s="40"/>
      <c r="F524" s="40"/>
    </row>
    <row r="525" ht="15.75" customHeight="1">
      <c r="A525" s="40"/>
      <c r="B525" s="40"/>
      <c r="C525" s="40"/>
      <c r="D525" s="40"/>
      <c r="E525" s="40"/>
      <c r="F525" s="40"/>
    </row>
    <row r="526" ht="15.75" customHeight="1">
      <c r="A526" s="40"/>
      <c r="B526" s="40"/>
      <c r="C526" s="40"/>
      <c r="D526" s="40"/>
      <c r="E526" s="40"/>
      <c r="F526" s="40"/>
    </row>
    <row r="527" ht="15.75" customHeight="1">
      <c r="A527" s="40"/>
      <c r="B527" s="40"/>
      <c r="C527" s="40"/>
      <c r="D527" s="40"/>
      <c r="E527" s="40"/>
      <c r="F527" s="40"/>
    </row>
    <row r="528" ht="15.75" customHeight="1">
      <c r="A528" s="40"/>
      <c r="B528" s="40"/>
      <c r="C528" s="40"/>
      <c r="D528" s="40"/>
      <c r="E528" s="40"/>
      <c r="F528" s="40"/>
    </row>
    <row r="529" ht="15.75" customHeight="1">
      <c r="A529" s="40"/>
      <c r="B529" s="40"/>
      <c r="C529" s="40"/>
      <c r="D529" s="40"/>
      <c r="E529" s="40"/>
      <c r="F529" s="40"/>
    </row>
    <row r="530" ht="15.75" customHeight="1">
      <c r="A530" s="40"/>
      <c r="B530" s="40"/>
      <c r="C530" s="40"/>
      <c r="D530" s="40"/>
      <c r="E530" s="40"/>
      <c r="F530" s="40"/>
    </row>
    <row r="531" ht="15.75" customHeight="1">
      <c r="A531" s="40"/>
      <c r="B531" s="40"/>
      <c r="C531" s="40"/>
      <c r="D531" s="40"/>
      <c r="E531" s="40"/>
      <c r="F531" s="40"/>
    </row>
    <row r="532" ht="15.75" customHeight="1">
      <c r="A532" s="40"/>
      <c r="B532" s="40"/>
      <c r="C532" s="40"/>
      <c r="D532" s="40"/>
      <c r="E532" s="40"/>
      <c r="F532" s="40"/>
    </row>
    <row r="533" ht="15.75" customHeight="1">
      <c r="A533" s="40"/>
      <c r="B533" s="40"/>
      <c r="C533" s="40"/>
      <c r="D533" s="40"/>
      <c r="E533" s="40"/>
      <c r="F533" s="40"/>
    </row>
    <row r="534" ht="15.75" customHeight="1">
      <c r="A534" s="40"/>
      <c r="B534" s="40"/>
      <c r="C534" s="40"/>
      <c r="D534" s="40"/>
      <c r="E534" s="40"/>
      <c r="F534" s="40"/>
    </row>
    <row r="535" ht="15.75" customHeight="1">
      <c r="A535" s="40"/>
      <c r="B535" s="40"/>
      <c r="C535" s="40"/>
      <c r="D535" s="40"/>
      <c r="E535" s="40"/>
      <c r="F535" s="40"/>
    </row>
    <row r="536" ht="15.75" customHeight="1">
      <c r="A536" s="40"/>
      <c r="B536" s="40"/>
      <c r="C536" s="40"/>
      <c r="D536" s="40"/>
      <c r="E536" s="40"/>
      <c r="F536" s="40"/>
    </row>
    <row r="537" ht="15.75" customHeight="1">
      <c r="A537" s="40"/>
      <c r="B537" s="40"/>
      <c r="C537" s="40"/>
      <c r="D537" s="40"/>
      <c r="E537" s="40"/>
      <c r="F537" s="40"/>
    </row>
    <row r="538" ht="15.75" customHeight="1">
      <c r="A538" s="40"/>
      <c r="B538" s="40"/>
      <c r="C538" s="40"/>
      <c r="D538" s="40"/>
      <c r="E538" s="40"/>
      <c r="F538" s="40"/>
    </row>
    <row r="539" ht="15.75" customHeight="1">
      <c r="A539" s="40"/>
      <c r="B539" s="40"/>
      <c r="C539" s="40"/>
      <c r="D539" s="40"/>
      <c r="E539" s="40"/>
      <c r="F539" s="40"/>
    </row>
    <row r="540" ht="15.75" customHeight="1">
      <c r="A540" s="40"/>
      <c r="B540" s="40"/>
      <c r="C540" s="40"/>
      <c r="D540" s="40"/>
      <c r="E540" s="40"/>
      <c r="F540" s="40"/>
    </row>
    <row r="541" ht="15.75" customHeight="1">
      <c r="A541" s="40"/>
      <c r="B541" s="40"/>
      <c r="C541" s="40"/>
      <c r="D541" s="40"/>
      <c r="E541" s="40"/>
      <c r="F541" s="40"/>
    </row>
    <row r="542" ht="15.75" customHeight="1">
      <c r="A542" s="40"/>
      <c r="B542" s="40"/>
      <c r="C542" s="40"/>
      <c r="D542" s="40"/>
      <c r="E542" s="40"/>
      <c r="F542" s="40"/>
    </row>
    <row r="543" ht="15.75" customHeight="1">
      <c r="A543" s="40"/>
      <c r="B543" s="40"/>
      <c r="C543" s="40"/>
      <c r="D543" s="40"/>
      <c r="E543" s="40"/>
      <c r="F543" s="40"/>
    </row>
    <row r="544" ht="15.75" customHeight="1">
      <c r="A544" s="40"/>
      <c r="B544" s="40"/>
      <c r="C544" s="40"/>
      <c r="D544" s="40"/>
      <c r="E544" s="40"/>
      <c r="F544" s="40"/>
    </row>
    <row r="545" ht="15.75" customHeight="1">
      <c r="A545" s="40"/>
      <c r="B545" s="40"/>
      <c r="C545" s="40"/>
      <c r="D545" s="40"/>
      <c r="E545" s="40"/>
      <c r="F545" s="40"/>
    </row>
    <row r="546" ht="15.75" customHeight="1">
      <c r="A546" s="40"/>
      <c r="B546" s="40"/>
      <c r="C546" s="40"/>
      <c r="D546" s="40"/>
      <c r="E546" s="40"/>
      <c r="F546" s="40"/>
    </row>
    <row r="547" ht="15.75" customHeight="1">
      <c r="A547" s="40"/>
      <c r="B547" s="40"/>
      <c r="C547" s="40"/>
      <c r="D547" s="40"/>
      <c r="E547" s="40"/>
      <c r="F547" s="40"/>
    </row>
    <row r="548" ht="15.75" customHeight="1">
      <c r="A548" s="40"/>
      <c r="B548" s="40"/>
      <c r="C548" s="40"/>
      <c r="D548" s="40"/>
      <c r="E548" s="40"/>
      <c r="F548" s="40"/>
    </row>
    <row r="549" ht="15.75" customHeight="1">
      <c r="A549" s="40"/>
      <c r="B549" s="40"/>
      <c r="C549" s="40"/>
      <c r="D549" s="40"/>
      <c r="E549" s="40"/>
      <c r="F549" s="40"/>
    </row>
    <row r="550" ht="15.75" customHeight="1">
      <c r="A550" s="40"/>
      <c r="B550" s="40"/>
      <c r="C550" s="40"/>
      <c r="D550" s="40"/>
      <c r="E550" s="40"/>
      <c r="F550" s="40"/>
    </row>
    <row r="551" ht="15.75" customHeight="1">
      <c r="A551" s="40"/>
      <c r="B551" s="40"/>
      <c r="C551" s="40"/>
      <c r="D551" s="40"/>
      <c r="E551" s="40"/>
      <c r="F551" s="40"/>
    </row>
    <row r="552" ht="15.75" customHeight="1">
      <c r="A552" s="40"/>
      <c r="B552" s="40"/>
      <c r="C552" s="40"/>
      <c r="D552" s="40"/>
      <c r="E552" s="40"/>
      <c r="F552" s="40"/>
    </row>
    <row r="553" ht="15.75" customHeight="1">
      <c r="A553" s="40"/>
      <c r="B553" s="40"/>
      <c r="C553" s="40"/>
      <c r="D553" s="40"/>
      <c r="E553" s="40"/>
      <c r="F553" s="40"/>
    </row>
    <row r="554" ht="15.75" customHeight="1">
      <c r="A554" s="40"/>
      <c r="B554" s="40"/>
      <c r="C554" s="40"/>
      <c r="D554" s="40"/>
      <c r="E554" s="40"/>
      <c r="F554" s="40"/>
    </row>
    <row r="555" ht="15.75" customHeight="1">
      <c r="A555" s="40"/>
      <c r="B555" s="40"/>
      <c r="C555" s="40"/>
      <c r="D555" s="40"/>
      <c r="E555" s="40"/>
      <c r="F555" s="40"/>
    </row>
    <row r="556" ht="15.75" customHeight="1">
      <c r="A556" s="40"/>
      <c r="B556" s="40"/>
      <c r="C556" s="40"/>
      <c r="D556" s="40"/>
      <c r="E556" s="40"/>
      <c r="F556" s="40"/>
    </row>
    <row r="557" ht="15.75" customHeight="1">
      <c r="A557" s="40"/>
      <c r="B557" s="40"/>
      <c r="C557" s="40"/>
      <c r="D557" s="40"/>
      <c r="E557" s="40"/>
      <c r="F557" s="40"/>
    </row>
    <row r="558" ht="15.75" customHeight="1">
      <c r="A558" s="40"/>
      <c r="B558" s="40"/>
      <c r="C558" s="40"/>
      <c r="D558" s="40"/>
      <c r="E558" s="40"/>
      <c r="F558" s="40"/>
    </row>
    <row r="559" ht="15.75" customHeight="1">
      <c r="A559" s="40"/>
      <c r="B559" s="40"/>
      <c r="C559" s="40"/>
      <c r="D559" s="40"/>
      <c r="E559" s="40"/>
      <c r="F559" s="40"/>
    </row>
    <row r="560" ht="15.75" customHeight="1">
      <c r="A560" s="40"/>
      <c r="B560" s="40"/>
      <c r="C560" s="40"/>
      <c r="D560" s="40"/>
      <c r="E560" s="40"/>
      <c r="F560" s="40"/>
    </row>
    <row r="561" ht="15.75" customHeight="1">
      <c r="A561" s="40"/>
      <c r="B561" s="40"/>
      <c r="C561" s="40"/>
      <c r="D561" s="40"/>
      <c r="E561" s="40"/>
      <c r="F561" s="40"/>
    </row>
    <row r="562" ht="15.75" customHeight="1">
      <c r="A562" s="40"/>
      <c r="B562" s="40"/>
      <c r="C562" s="40"/>
      <c r="D562" s="40"/>
      <c r="E562" s="40"/>
      <c r="F562" s="40"/>
    </row>
    <row r="563" ht="15.75" customHeight="1">
      <c r="A563" s="40"/>
      <c r="B563" s="40"/>
      <c r="C563" s="40"/>
      <c r="D563" s="40"/>
      <c r="E563" s="40"/>
      <c r="F563" s="40"/>
    </row>
    <row r="564" ht="15.75" customHeight="1">
      <c r="A564" s="40"/>
      <c r="B564" s="40"/>
      <c r="C564" s="40"/>
      <c r="D564" s="40"/>
      <c r="E564" s="40"/>
      <c r="F564" s="40"/>
    </row>
    <row r="565" ht="15.75" customHeight="1">
      <c r="A565" s="40"/>
      <c r="B565" s="40"/>
      <c r="C565" s="40"/>
      <c r="D565" s="40"/>
      <c r="E565" s="40"/>
      <c r="F565" s="40"/>
    </row>
    <row r="566" ht="15.75" customHeight="1">
      <c r="A566" s="40"/>
      <c r="B566" s="40"/>
      <c r="C566" s="40"/>
      <c r="D566" s="40"/>
      <c r="E566" s="40"/>
      <c r="F566" s="40"/>
    </row>
    <row r="567" ht="15.75" customHeight="1">
      <c r="A567" s="40"/>
      <c r="B567" s="40"/>
      <c r="C567" s="40"/>
      <c r="D567" s="40"/>
      <c r="E567" s="40"/>
      <c r="F567" s="40"/>
    </row>
    <row r="568" ht="15.75" customHeight="1">
      <c r="A568" s="40"/>
      <c r="B568" s="40"/>
      <c r="C568" s="40"/>
      <c r="D568" s="40"/>
      <c r="E568" s="40"/>
      <c r="F568" s="40"/>
    </row>
    <row r="569" ht="15.75" customHeight="1">
      <c r="A569" s="40"/>
      <c r="B569" s="40"/>
      <c r="C569" s="40"/>
      <c r="D569" s="40"/>
      <c r="E569" s="40"/>
      <c r="F569" s="40"/>
    </row>
    <row r="570" ht="15.75" customHeight="1">
      <c r="A570" s="40"/>
      <c r="B570" s="40"/>
      <c r="C570" s="40"/>
      <c r="D570" s="40"/>
      <c r="E570" s="40"/>
      <c r="F570" s="40"/>
    </row>
    <row r="571" ht="15.75" customHeight="1">
      <c r="A571" s="40"/>
      <c r="B571" s="40"/>
      <c r="C571" s="40"/>
      <c r="D571" s="40"/>
      <c r="E571" s="40"/>
      <c r="F571" s="40"/>
    </row>
    <row r="572" ht="15.75" customHeight="1">
      <c r="A572" s="40"/>
      <c r="B572" s="40"/>
      <c r="C572" s="40"/>
      <c r="D572" s="40"/>
      <c r="E572" s="40"/>
      <c r="F572" s="40"/>
    </row>
    <row r="573" ht="15.75" customHeight="1">
      <c r="A573" s="40"/>
      <c r="B573" s="40"/>
      <c r="C573" s="40"/>
      <c r="D573" s="40"/>
      <c r="E573" s="40"/>
      <c r="F573" s="40"/>
    </row>
    <row r="574" ht="15.75" customHeight="1">
      <c r="A574" s="40"/>
      <c r="B574" s="40"/>
      <c r="C574" s="40"/>
      <c r="D574" s="40"/>
      <c r="E574" s="40"/>
      <c r="F574" s="40"/>
    </row>
    <row r="575" ht="15.75" customHeight="1">
      <c r="A575" s="40"/>
      <c r="B575" s="40"/>
      <c r="C575" s="40"/>
      <c r="D575" s="40"/>
      <c r="E575" s="40"/>
      <c r="F575" s="40"/>
    </row>
    <row r="576" ht="15.75" customHeight="1">
      <c r="A576" s="40"/>
      <c r="B576" s="40"/>
      <c r="C576" s="40"/>
      <c r="D576" s="40"/>
      <c r="E576" s="40"/>
      <c r="F576" s="40"/>
    </row>
    <row r="577" ht="15.75" customHeight="1">
      <c r="A577" s="40"/>
      <c r="B577" s="40"/>
      <c r="C577" s="40"/>
      <c r="D577" s="40"/>
      <c r="E577" s="40"/>
      <c r="F577" s="40"/>
    </row>
    <row r="578" ht="15.75" customHeight="1">
      <c r="A578" s="40"/>
      <c r="B578" s="40"/>
      <c r="C578" s="40"/>
      <c r="D578" s="40"/>
      <c r="E578" s="40"/>
      <c r="F578" s="40"/>
    </row>
    <row r="579" ht="15.75" customHeight="1">
      <c r="A579" s="40"/>
      <c r="B579" s="40"/>
      <c r="C579" s="40"/>
      <c r="D579" s="40"/>
      <c r="E579" s="40"/>
      <c r="F579" s="40"/>
    </row>
    <row r="580" ht="15.75" customHeight="1">
      <c r="A580" s="40"/>
      <c r="B580" s="40"/>
      <c r="C580" s="40"/>
      <c r="D580" s="40"/>
      <c r="E580" s="40"/>
      <c r="F580" s="40"/>
    </row>
    <row r="581" ht="15.75" customHeight="1">
      <c r="A581" s="40"/>
      <c r="B581" s="40"/>
      <c r="C581" s="40"/>
      <c r="D581" s="40"/>
      <c r="E581" s="40"/>
      <c r="F581" s="40"/>
    </row>
    <row r="582" ht="15.75" customHeight="1">
      <c r="A582" s="40"/>
      <c r="B582" s="40"/>
      <c r="C582" s="40"/>
      <c r="D582" s="40"/>
      <c r="E582" s="40"/>
      <c r="F582" s="40"/>
    </row>
    <row r="583" ht="15.75" customHeight="1">
      <c r="A583" s="40"/>
      <c r="B583" s="40"/>
      <c r="C583" s="40"/>
      <c r="D583" s="40"/>
      <c r="E583" s="40"/>
      <c r="F583" s="40"/>
    </row>
    <row r="584" ht="15.75" customHeight="1">
      <c r="A584" s="40"/>
      <c r="B584" s="40"/>
      <c r="C584" s="40"/>
      <c r="D584" s="40"/>
      <c r="E584" s="40"/>
      <c r="F584" s="40"/>
    </row>
    <row r="585" ht="15.75" customHeight="1">
      <c r="A585" s="40"/>
      <c r="B585" s="40"/>
      <c r="C585" s="40"/>
      <c r="D585" s="40"/>
      <c r="E585" s="40"/>
      <c r="F585" s="40"/>
    </row>
    <row r="586" ht="15.75" customHeight="1">
      <c r="A586" s="40"/>
      <c r="B586" s="40"/>
      <c r="C586" s="40"/>
      <c r="D586" s="40"/>
      <c r="E586" s="40"/>
      <c r="F586" s="40"/>
    </row>
    <row r="587" ht="15.75" customHeight="1">
      <c r="A587" s="40"/>
      <c r="B587" s="40"/>
      <c r="C587" s="40"/>
      <c r="D587" s="40"/>
      <c r="E587" s="40"/>
      <c r="F587" s="40"/>
    </row>
    <row r="588" ht="15.75" customHeight="1">
      <c r="A588" s="40"/>
      <c r="B588" s="40"/>
      <c r="C588" s="40"/>
      <c r="D588" s="40"/>
      <c r="E588" s="40"/>
      <c r="F588" s="40"/>
    </row>
    <row r="589" ht="15.75" customHeight="1">
      <c r="A589" s="40"/>
      <c r="B589" s="40"/>
      <c r="C589" s="40"/>
      <c r="D589" s="40"/>
      <c r="E589" s="40"/>
      <c r="F589" s="40"/>
    </row>
    <row r="590" ht="15.75" customHeight="1">
      <c r="A590" s="40"/>
      <c r="B590" s="40"/>
      <c r="C590" s="40"/>
      <c r="D590" s="40"/>
      <c r="E590" s="40"/>
      <c r="F590" s="40"/>
    </row>
    <row r="591" ht="15.75" customHeight="1">
      <c r="A591" s="40"/>
      <c r="B591" s="40"/>
      <c r="C591" s="40"/>
      <c r="D591" s="40"/>
      <c r="E591" s="40"/>
      <c r="F591" s="40"/>
    </row>
    <row r="592" ht="15.75" customHeight="1">
      <c r="A592" s="40"/>
      <c r="B592" s="40"/>
      <c r="C592" s="40"/>
      <c r="D592" s="40"/>
      <c r="E592" s="40"/>
      <c r="F592" s="40"/>
    </row>
    <row r="593" ht="15.75" customHeight="1">
      <c r="A593" s="40"/>
      <c r="B593" s="40"/>
      <c r="C593" s="40"/>
      <c r="D593" s="40"/>
      <c r="E593" s="40"/>
      <c r="F593" s="40"/>
    </row>
    <row r="594" ht="15.75" customHeight="1">
      <c r="A594" s="40"/>
      <c r="B594" s="40"/>
      <c r="C594" s="40"/>
      <c r="D594" s="40"/>
      <c r="E594" s="40"/>
      <c r="F594" s="40"/>
    </row>
    <row r="595" ht="15.75" customHeight="1">
      <c r="A595" s="40"/>
      <c r="B595" s="40"/>
      <c r="C595" s="40"/>
      <c r="D595" s="40"/>
      <c r="E595" s="40"/>
      <c r="F595" s="40"/>
    </row>
    <row r="596" ht="15.75" customHeight="1">
      <c r="A596" s="40"/>
      <c r="B596" s="40"/>
      <c r="C596" s="40"/>
      <c r="D596" s="40"/>
      <c r="E596" s="40"/>
      <c r="F596" s="40"/>
    </row>
    <row r="597" ht="15.75" customHeight="1">
      <c r="A597" s="40"/>
      <c r="B597" s="40"/>
      <c r="C597" s="40"/>
      <c r="D597" s="40"/>
      <c r="E597" s="40"/>
      <c r="F597" s="40"/>
    </row>
    <row r="598" ht="15.75" customHeight="1">
      <c r="A598" s="40"/>
      <c r="B598" s="40"/>
      <c r="C598" s="40"/>
      <c r="D598" s="40"/>
      <c r="E598" s="40"/>
      <c r="F598" s="40"/>
    </row>
    <row r="599" ht="15.75" customHeight="1">
      <c r="A599" s="40"/>
      <c r="B599" s="40"/>
      <c r="C599" s="40"/>
      <c r="D599" s="40"/>
      <c r="E599" s="40"/>
      <c r="F599" s="40"/>
    </row>
    <row r="600" ht="15.75" customHeight="1">
      <c r="A600" s="40"/>
      <c r="B600" s="40"/>
      <c r="C600" s="40"/>
      <c r="D600" s="40"/>
      <c r="E600" s="40"/>
      <c r="F600" s="40"/>
    </row>
    <row r="601" ht="15.75" customHeight="1">
      <c r="A601" s="40"/>
      <c r="B601" s="40"/>
      <c r="C601" s="40"/>
      <c r="D601" s="40"/>
      <c r="E601" s="40"/>
      <c r="F601" s="40"/>
    </row>
    <row r="602" ht="15.75" customHeight="1">
      <c r="A602" s="40"/>
      <c r="B602" s="40"/>
      <c r="C602" s="40"/>
      <c r="D602" s="40"/>
      <c r="E602" s="40"/>
      <c r="F602" s="40"/>
    </row>
    <row r="603" ht="15.75" customHeight="1">
      <c r="A603" s="40"/>
      <c r="B603" s="40"/>
      <c r="C603" s="40"/>
      <c r="D603" s="40"/>
      <c r="E603" s="40"/>
      <c r="F603" s="40"/>
    </row>
    <row r="604" ht="15.75" customHeight="1">
      <c r="A604" s="40"/>
      <c r="B604" s="40"/>
      <c r="C604" s="40"/>
      <c r="D604" s="40"/>
      <c r="E604" s="40"/>
      <c r="F604" s="40"/>
    </row>
    <row r="605" ht="15.75" customHeight="1">
      <c r="A605" s="40"/>
      <c r="B605" s="40"/>
      <c r="C605" s="40"/>
      <c r="D605" s="40"/>
      <c r="E605" s="40"/>
      <c r="F605" s="40"/>
    </row>
    <row r="606" ht="15.75" customHeight="1">
      <c r="A606" s="40"/>
      <c r="B606" s="40"/>
      <c r="C606" s="40"/>
      <c r="D606" s="40"/>
      <c r="E606" s="40"/>
      <c r="F606" s="40"/>
    </row>
    <row r="607" ht="15.75" customHeight="1">
      <c r="A607" s="40"/>
      <c r="B607" s="40"/>
      <c r="C607" s="40"/>
      <c r="D607" s="40"/>
      <c r="E607" s="40"/>
      <c r="F607" s="40"/>
    </row>
    <row r="608" ht="15.75" customHeight="1">
      <c r="A608" s="40"/>
      <c r="B608" s="40"/>
      <c r="C608" s="40"/>
      <c r="D608" s="40"/>
      <c r="E608" s="40"/>
      <c r="F608" s="40"/>
    </row>
    <row r="609" ht="15.75" customHeight="1">
      <c r="A609" s="40"/>
      <c r="B609" s="40"/>
      <c r="C609" s="40"/>
      <c r="D609" s="40"/>
      <c r="E609" s="40"/>
      <c r="F609" s="40"/>
    </row>
    <row r="610" ht="15.75" customHeight="1">
      <c r="A610" s="40"/>
      <c r="B610" s="40"/>
      <c r="C610" s="40"/>
      <c r="D610" s="40"/>
      <c r="E610" s="40"/>
      <c r="F610" s="40"/>
    </row>
    <row r="611" ht="15.75" customHeight="1">
      <c r="A611" s="40"/>
      <c r="B611" s="40"/>
      <c r="C611" s="40"/>
      <c r="D611" s="40"/>
      <c r="E611" s="40"/>
      <c r="F611" s="40"/>
    </row>
    <row r="612" ht="15.75" customHeight="1">
      <c r="A612" s="40"/>
      <c r="B612" s="40"/>
      <c r="C612" s="40"/>
      <c r="D612" s="40"/>
      <c r="E612" s="40"/>
      <c r="F612" s="40"/>
    </row>
    <row r="613" ht="15.75" customHeight="1">
      <c r="A613" s="40"/>
      <c r="B613" s="40"/>
      <c r="C613" s="40"/>
      <c r="D613" s="40"/>
      <c r="E613" s="40"/>
      <c r="F613" s="40"/>
    </row>
    <row r="614" ht="15.75" customHeight="1">
      <c r="A614" s="40"/>
      <c r="B614" s="40"/>
      <c r="C614" s="40"/>
      <c r="D614" s="40"/>
      <c r="E614" s="40"/>
      <c r="F614" s="40"/>
    </row>
    <row r="615" ht="15.75" customHeight="1">
      <c r="A615" s="40"/>
      <c r="B615" s="40"/>
      <c r="C615" s="40"/>
      <c r="D615" s="40"/>
      <c r="E615" s="40"/>
      <c r="F615" s="40"/>
    </row>
    <row r="616" ht="15.75" customHeight="1">
      <c r="A616" s="40"/>
      <c r="B616" s="40"/>
      <c r="C616" s="40"/>
      <c r="D616" s="40"/>
      <c r="E616" s="40"/>
      <c r="F616" s="40"/>
    </row>
    <row r="617" ht="15.75" customHeight="1">
      <c r="A617" s="40"/>
      <c r="B617" s="40"/>
      <c r="C617" s="40"/>
      <c r="D617" s="40"/>
      <c r="E617" s="40"/>
      <c r="F617" s="40"/>
    </row>
    <row r="618" ht="15.75" customHeight="1">
      <c r="A618" s="40"/>
      <c r="B618" s="40"/>
      <c r="C618" s="40"/>
      <c r="D618" s="40"/>
      <c r="E618" s="40"/>
      <c r="F618" s="40"/>
    </row>
    <row r="619" ht="15.75" customHeight="1">
      <c r="A619" s="40"/>
      <c r="B619" s="40"/>
      <c r="C619" s="40"/>
      <c r="D619" s="40"/>
      <c r="E619" s="40"/>
      <c r="F619" s="40"/>
    </row>
    <row r="620" ht="15.75" customHeight="1">
      <c r="A620" s="40"/>
      <c r="B620" s="40"/>
      <c r="C620" s="40"/>
      <c r="D620" s="40"/>
      <c r="E620" s="40"/>
      <c r="F620" s="40"/>
    </row>
    <row r="621" ht="15.75" customHeight="1">
      <c r="A621" s="40"/>
      <c r="B621" s="40"/>
      <c r="C621" s="40"/>
      <c r="D621" s="40"/>
      <c r="E621" s="40"/>
      <c r="F621" s="40"/>
    </row>
    <row r="622" ht="15.75" customHeight="1">
      <c r="A622" s="40"/>
      <c r="B622" s="40"/>
      <c r="C622" s="40"/>
      <c r="D622" s="40"/>
      <c r="E622" s="40"/>
      <c r="F622" s="40"/>
    </row>
    <row r="623" ht="15.75" customHeight="1">
      <c r="A623" s="40"/>
      <c r="B623" s="40"/>
      <c r="C623" s="40"/>
      <c r="D623" s="40"/>
      <c r="E623" s="40"/>
      <c r="F623" s="40"/>
    </row>
    <row r="624" ht="15.75" customHeight="1">
      <c r="A624" s="40"/>
      <c r="B624" s="40"/>
      <c r="C624" s="40"/>
      <c r="D624" s="40"/>
      <c r="E624" s="40"/>
      <c r="F624" s="40"/>
    </row>
    <row r="625" ht="15.75" customHeight="1">
      <c r="A625" s="40"/>
      <c r="B625" s="40"/>
      <c r="C625" s="40"/>
      <c r="D625" s="40"/>
      <c r="E625" s="40"/>
      <c r="F625" s="40"/>
    </row>
    <row r="626" ht="15.75" customHeight="1">
      <c r="A626" s="40"/>
      <c r="B626" s="40"/>
      <c r="C626" s="40"/>
      <c r="D626" s="40"/>
      <c r="E626" s="40"/>
      <c r="F626" s="40"/>
    </row>
    <row r="627" ht="15.75" customHeight="1">
      <c r="A627" s="40"/>
      <c r="B627" s="40"/>
      <c r="C627" s="40"/>
      <c r="D627" s="40"/>
      <c r="E627" s="40"/>
      <c r="F627" s="40"/>
    </row>
    <row r="628" ht="15.75" customHeight="1">
      <c r="A628" s="40"/>
      <c r="B628" s="40"/>
      <c r="C628" s="40"/>
      <c r="D628" s="40"/>
      <c r="E628" s="40"/>
      <c r="F628" s="40"/>
    </row>
    <row r="629" ht="15.75" customHeight="1">
      <c r="A629" s="40"/>
      <c r="B629" s="40"/>
      <c r="C629" s="40"/>
      <c r="D629" s="40"/>
      <c r="E629" s="40"/>
      <c r="F629" s="40"/>
    </row>
    <row r="630" ht="15.75" customHeight="1">
      <c r="A630" s="40"/>
      <c r="B630" s="40"/>
      <c r="C630" s="40"/>
      <c r="D630" s="40"/>
      <c r="E630" s="40"/>
      <c r="F630" s="40"/>
    </row>
    <row r="631" ht="15.75" customHeight="1">
      <c r="A631" s="40"/>
      <c r="B631" s="40"/>
      <c r="C631" s="40"/>
      <c r="D631" s="40"/>
      <c r="E631" s="40"/>
      <c r="F631" s="40"/>
    </row>
    <row r="632" ht="15.75" customHeight="1">
      <c r="A632" s="40"/>
      <c r="B632" s="40"/>
      <c r="C632" s="40"/>
      <c r="D632" s="40"/>
      <c r="E632" s="40"/>
      <c r="F632" s="40"/>
    </row>
    <row r="633" ht="15.75" customHeight="1">
      <c r="A633" s="40"/>
      <c r="B633" s="40"/>
      <c r="C633" s="40"/>
      <c r="D633" s="40"/>
      <c r="E633" s="40"/>
      <c r="F633" s="40"/>
    </row>
    <row r="634" ht="15.75" customHeight="1">
      <c r="A634" s="40"/>
      <c r="B634" s="40"/>
      <c r="C634" s="40"/>
      <c r="D634" s="40"/>
      <c r="E634" s="40"/>
      <c r="F634" s="40"/>
    </row>
    <row r="635" ht="15.75" customHeight="1">
      <c r="A635" s="40"/>
      <c r="B635" s="40"/>
      <c r="C635" s="40"/>
      <c r="D635" s="40"/>
      <c r="E635" s="40"/>
      <c r="F635" s="40"/>
    </row>
    <row r="636" ht="15.75" customHeight="1">
      <c r="A636" s="40"/>
      <c r="B636" s="40"/>
      <c r="C636" s="40"/>
      <c r="D636" s="40"/>
      <c r="E636" s="40"/>
      <c r="F636" s="40"/>
    </row>
    <row r="637" ht="15.75" customHeight="1">
      <c r="A637" s="40"/>
      <c r="B637" s="40"/>
      <c r="C637" s="40"/>
      <c r="D637" s="40"/>
      <c r="E637" s="40"/>
      <c r="F637" s="40"/>
    </row>
    <row r="638" ht="15.75" customHeight="1">
      <c r="A638" s="40"/>
      <c r="B638" s="40"/>
      <c r="C638" s="40"/>
      <c r="D638" s="40"/>
      <c r="E638" s="40"/>
      <c r="F638" s="40"/>
    </row>
    <row r="639" ht="15.75" customHeight="1">
      <c r="A639" s="40"/>
      <c r="B639" s="40"/>
      <c r="C639" s="40"/>
      <c r="D639" s="40"/>
      <c r="E639" s="40"/>
      <c r="F639" s="40"/>
    </row>
    <row r="640" ht="15.75" customHeight="1">
      <c r="A640" s="40"/>
      <c r="B640" s="40"/>
      <c r="C640" s="40"/>
      <c r="D640" s="40"/>
      <c r="E640" s="40"/>
      <c r="F640" s="40"/>
    </row>
    <row r="641" ht="15.75" customHeight="1">
      <c r="A641" s="40"/>
      <c r="B641" s="40"/>
      <c r="C641" s="40"/>
      <c r="D641" s="40"/>
      <c r="E641" s="40"/>
      <c r="F641" s="40"/>
    </row>
    <row r="642" ht="15.75" customHeight="1">
      <c r="A642" s="40"/>
      <c r="B642" s="40"/>
      <c r="C642" s="40"/>
      <c r="D642" s="40"/>
      <c r="E642" s="40"/>
      <c r="F642" s="40"/>
    </row>
    <row r="643" ht="15.75" customHeight="1">
      <c r="A643" s="40"/>
      <c r="B643" s="40"/>
      <c r="C643" s="40"/>
      <c r="D643" s="40"/>
      <c r="E643" s="40"/>
      <c r="F643" s="40"/>
    </row>
    <row r="644" ht="15.75" customHeight="1">
      <c r="A644" s="40"/>
      <c r="B644" s="40"/>
      <c r="C644" s="40"/>
      <c r="D644" s="40"/>
      <c r="E644" s="40"/>
      <c r="F644" s="40"/>
    </row>
    <row r="645" ht="15.75" customHeight="1">
      <c r="A645" s="40"/>
      <c r="B645" s="40"/>
      <c r="C645" s="40"/>
      <c r="D645" s="40"/>
      <c r="E645" s="40"/>
      <c r="F645" s="40"/>
    </row>
    <row r="646" ht="15.75" customHeight="1">
      <c r="A646" s="40"/>
      <c r="B646" s="40"/>
      <c r="C646" s="40"/>
      <c r="D646" s="40"/>
      <c r="E646" s="40"/>
      <c r="F646" s="40"/>
    </row>
    <row r="647" ht="15.75" customHeight="1">
      <c r="A647" s="40"/>
      <c r="B647" s="40"/>
      <c r="C647" s="40"/>
      <c r="D647" s="40"/>
      <c r="E647" s="40"/>
      <c r="F647" s="40"/>
    </row>
    <row r="648" ht="15.75" customHeight="1">
      <c r="A648" s="40"/>
      <c r="B648" s="40"/>
      <c r="C648" s="40"/>
      <c r="D648" s="40"/>
      <c r="E648" s="40"/>
      <c r="F648" s="40"/>
    </row>
    <row r="649" ht="15.75" customHeight="1">
      <c r="A649" s="40"/>
      <c r="B649" s="40"/>
      <c r="C649" s="40"/>
      <c r="D649" s="40"/>
      <c r="E649" s="40"/>
      <c r="F649" s="40"/>
    </row>
    <row r="650" ht="15.75" customHeight="1">
      <c r="A650" s="40"/>
      <c r="B650" s="40"/>
      <c r="C650" s="40"/>
      <c r="D650" s="40"/>
      <c r="E650" s="40"/>
      <c r="F650" s="40"/>
    </row>
    <row r="651" ht="15.75" customHeight="1">
      <c r="A651" s="40"/>
      <c r="B651" s="40"/>
      <c r="C651" s="40"/>
      <c r="D651" s="40"/>
      <c r="E651" s="40"/>
      <c r="F651" s="40"/>
    </row>
    <row r="652" ht="15.75" customHeight="1">
      <c r="A652" s="40"/>
      <c r="B652" s="40"/>
      <c r="C652" s="40"/>
      <c r="D652" s="40"/>
      <c r="E652" s="40"/>
      <c r="F652" s="40"/>
    </row>
    <row r="653" ht="15.75" customHeight="1">
      <c r="A653" s="40"/>
      <c r="B653" s="40"/>
      <c r="C653" s="40"/>
      <c r="D653" s="40"/>
      <c r="E653" s="40"/>
      <c r="F653" s="40"/>
    </row>
    <row r="654" ht="15.75" customHeight="1">
      <c r="A654" s="40"/>
      <c r="B654" s="40"/>
      <c r="C654" s="40"/>
      <c r="D654" s="40"/>
      <c r="E654" s="40"/>
      <c r="F654" s="40"/>
    </row>
    <row r="655" ht="15.75" customHeight="1">
      <c r="A655" s="40"/>
      <c r="B655" s="40"/>
      <c r="C655" s="40"/>
      <c r="D655" s="40"/>
      <c r="E655" s="40"/>
      <c r="F655" s="40"/>
    </row>
    <row r="656" ht="15.75" customHeight="1">
      <c r="A656" s="40"/>
      <c r="B656" s="40"/>
      <c r="C656" s="40"/>
      <c r="D656" s="40"/>
      <c r="E656" s="40"/>
      <c r="F656" s="40"/>
    </row>
    <row r="657" ht="15.75" customHeight="1">
      <c r="A657" s="40"/>
      <c r="B657" s="40"/>
      <c r="C657" s="40"/>
      <c r="D657" s="40"/>
      <c r="E657" s="40"/>
      <c r="F657" s="40"/>
    </row>
    <row r="658" ht="15.75" customHeight="1">
      <c r="A658" s="40"/>
      <c r="B658" s="40"/>
      <c r="C658" s="40"/>
      <c r="D658" s="40"/>
      <c r="E658" s="40"/>
      <c r="F658" s="40"/>
    </row>
    <row r="659" ht="15.75" customHeight="1">
      <c r="A659" s="40"/>
      <c r="B659" s="40"/>
      <c r="C659" s="40"/>
      <c r="D659" s="40"/>
      <c r="E659" s="40"/>
      <c r="F659" s="40"/>
    </row>
    <row r="660" ht="15.75" customHeight="1">
      <c r="A660" s="40"/>
      <c r="B660" s="40"/>
      <c r="C660" s="40"/>
      <c r="D660" s="40"/>
      <c r="E660" s="40"/>
      <c r="F660" s="40"/>
    </row>
    <row r="661" ht="15.75" customHeight="1">
      <c r="A661" s="40"/>
      <c r="B661" s="40"/>
      <c r="C661" s="40"/>
      <c r="D661" s="40"/>
      <c r="E661" s="40"/>
      <c r="F661" s="40"/>
    </row>
    <row r="662" ht="15.75" customHeight="1">
      <c r="A662" s="40"/>
      <c r="B662" s="40"/>
      <c r="C662" s="40"/>
      <c r="D662" s="40"/>
      <c r="E662" s="40"/>
      <c r="F662" s="40"/>
    </row>
    <row r="663" ht="15.75" customHeight="1">
      <c r="A663" s="40"/>
      <c r="B663" s="40"/>
      <c r="C663" s="40"/>
      <c r="D663" s="40"/>
      <c r="E663" s="40"/>
      <c r="F663" s="40"/>
    </row>
    <row r="664" ht="15.75" customHeight="1">
      <c r="A664" s="40"/>
      <c r="B664" s="40"/>
      <c r="C664" s="40"/>
      <c r="D664" s="40"/>
      <c r="E664" s="40"/>
      <c r="F664" s="40"/>
    </row>
    <row r="665" ht="15.75" customHeight="1">
      <c r="A665" s="40"/>
      <c r="B665" s="40"/>
      <c r="C665" s="40"/>
      <c r="D665" s="40"/>
      <c r="E665" s="40"/>
      <c r="F665" s="40"/>
    </row>
    <row r="666" ht="15.75" customHeight="1">
      <c r="A666" s="40"/>
      <c r="B666" s="40"/>
      <c r="C666" s="40"/>
      <c r="D666" s="40"/>
      <c r="E666" s="40"/>
      <c r="F666" s="40"/>
    </row>
    <row r="667" ht="15.75" customHeight="1">
      <c r="A667" s="40"/>
      <c r="B667" s="40"/>
      <c r="C667" s="40"/>
      <c r="D667" s="40"/>
      <c r="E667" s="40"/>
      <c r="F667" s="40"/>
    </row>
    <row r="668" ht="15.75" customHeight="1">
      <c r="A668" s="40"/>
      <c r="B668" s="40"/>
      <c r="C668" s="40"/>
      <c r="D668" s="40"/>
      <c r="E668" s="40"/>
      <c r="F668" s="40"/>
    </row>
    <row r="669" ht="15.75" customHeight="1">
      <c r="A669" s="40"/>
      <c r="B669" s="40"/>
      <c r="C669" s="40"/>
      <c r="D669" s="40"/>
      <c r="E669" s="40"/>
      <c r="F669" s="40"/>
    </row>
    <row r="670" ht="15.75" customHeight="1">
      <c r="A670" s="40"/>
      <c r="B670" s="40"/>
      <c r="C670" s="40"/>
      <c r="D670" s="40"/>
      <c r="E670" s="40"/>
      <c r="F670" s="40"/>
    </row>
    <row r="671" ht="15.75" customHeight="1">
      <c r="A671" s="40"/>
      <c r="B671" s="40"/>
      <c r="C671" s="40"/>
      <c r="D671" s="40"/>
      <c r="E671" s="40"/>
      <c r="F671" s="40"/>
    </row>
    <row r="672" ht="15.75" customHeight="1">
      <c r="A672" s="40"/>
      <c r="B672" s="40"/>
      <c r="C672" s="40"/>
      <c r="D672" s="40"/>
      <c r="E672" s="40"/>
      <c r="F672" s="40"/>
    </row>
    <row r="673" ht="15.75" customHeight="1">
      <c r="A673" s="40"/>
      <c r="B673" s="40"/>
      <c r="C673" s="40"/>
      <c r="D673" s="40"/>
      <c r="E673" s="40"/>
      <c r="F673" s="40"/>
    </row>
    <row r="674" ht="15.75" customHeight="1">
      <c r="A674" s="40"/>
      <c r="B674" s="40"/>
      <c r="C674" s="40"/>
      <c r="D674" s="40"/>
      <c r="E674" s="40"/>
      <c r="F674" s="40"/>
    </row>
    <row r="675" ht="15.75" customHeight="1">
      <c r="A675" s="40"/>
      <c r="B675" s="40"/>
      <c r="C675" s="40"/>
      <c r="D675" s="40"/>
      <c r="E675" s="40"/>
      <c r="F675" s="40"/>
    </row>
    <row r="676" ht="15.75" customHeight="1">
      <c r="A676" s="40"/>
      <c r="B676" s="40"/>
      <c r="C676" s="40"/>
      <c r="D676" s="40"/>
      <c r="E676" s="40"/>
      <c r="F676" s="40"/>
    </row>
    <row r="677" ht="15.75" customHeight="1">
      <c r="A677" s="40"/>
      <c r="B677" s="40"/>
      <c r="C677" s="40"/>
      <c r="D677" s="40"/>
      <c r="E677" s="40"/>
      <c r="F677" s="40"/>
    </row>
    <row r="678" ht="15.75" customHeight="1">
      <c r="A678" s="40"/>
      <c r="B678" s="40"/>
      <c r="C678" s="40"/>
      <c r="D678" s="40"/>
      <c r="E678" s="40"/>
      <c r="F678" s="40"/>
    </row>
    <row r="679" ht="15.75" customHeight="1">
      <c r="A679" s="40"/>
      <c r="B679" s="40"/>
      <c r="C679" s="40"/>
      <c r="D679" s="40"/>
      <c r="E679" s="40"/>
      <c r="F679" s="40"/>
    </row>
    <row r="680" ht="15.75" customHeight="1">
      <c r="A680" s="40"/>
      <c r="B680" s="40"/>
      <c r="C680" s="40"/>
      <c r="D680" s="40"/>
      <c r="E680" s="40"/>
      <c r="F680" s="40"/>
    </row>
    <row r="681" ht="15.75" customHeight="1">
      <c r="A681" s="40"/>
      <c r="B681" s="40"/>
      <c r="C681" s="40"/>
      <c r="D681" s="40"/>
      <c r="E681" s="40"/>
      <c r="F681" s="40"/>
    </row>
    <row r="682" ht="15.75" customHeight="1">
      <c r="A682" s="40"/>
      <c r="B682" s="40"/>
      <c r="C682" s="40"/>
      <c r="D682" s="40"/>
      <c r="E682" s="40"/>
      <c r="F682" s="40"/>
    </row>
    <row r="683" ht="15.75" customHeight="1">
      <c r="A683" s="40"/>
      <c r="B683" s="40"/>
      <c r="C683" s="40"/>
      <c r="D683" s="40"/>
      <c r="E683" s="40"/>
      <c r="F683" s="40"/>
    </row>
    <row r="684" ht="15.75" customHeight="1">
      <c r="A684" s="40"/>
      <c r="B684" s="40"/>
      <c r="C684" s="40"/>
      <c r="D684" s="40"/>
      <c r="E684" s="40"/>
      <c r="F684" s="40"/>
    </row>
    <row r="685" ht="15.75" customHeight="1">
      <c r="A685" s="40"/>
      <c r="B685" s="40"/>
      <c r="C685" s="40"/>
      <c r="D685" s="40"/>
      <c r="E685" s="40"/>
      <c r="F685" s="40"/>
    </row>
    <row r="686" ht="15.75" customHeight="1">
      <c r="A686" s="40"/>
      <c r="B686" s="40"/>
      <c r="C686" s="40"/>
      <c r="D686" s="40"/>
      <c r="E686" s="40"/>
      <c r="F686" s="40"/>
    </row>
    <row r="687" ht="15.75" customHeight="1">
      <c r="A687" s="40"/>
      <c r="B687" s="40"/>
      <c r="C687" s="40"/>
      <c r="D687" s="40"/>
      <c r="E687" s="40"/>
      <c r="F687" s="40"/>
    </row>
    <row r="688" ht="15.75" customHeight="1">
      <c r="A688" s="40"/>
      <c r="B688" s="40"/>
      <c r="C688" s="40"/>
      <c r="D688" s="40"/>
      <c r="E688" s="40"/>
      <c r="F688" s="40"/>
    </row>
    <row r="689" ht="15.75" customHeight="1">
      <c r="A689" s="40"/>
      <c r="B689" s="40"/>
      <c r="C689" s="40"/>
      <c r="D689" s="40"/>
      <c r="E689" s="40"/>
      <c r="F689" s="40"/>
    </row>
    <row r="690" ht="15.75" customHeight="1">
      <c r="A690" s="40"/>
      <c r="B690" s="40"/>
      <c r="C690" s="40"/>
      <c r="D690" s="40"/>
      <c r="E690" s="40"/>
      <c r="F690" s="40"/>
    </row>
    <row r="691" ht="15.75" customHeight="1">
      <c r="A691" s="40"/>
      <c r="B691" s="40"/>
      <c r="C691" s="40"/>
      <c r="D691" s="40"/>
      <c r="E691" s="40"/>
      <c r="F691" s="40"/>
    </row>
    <row r="692" ht="15.75" customHeight="1">
      <c r="A692" s="40"/>
      <c r="B692" s="40"/>
      <c r="C692" s="40"/>
      <c r="D692" s="40"/>
      <c r="E692" s="40"/>
      <c r="F692" s="40"/>
    </row>
    <row r="693" ht="15.75" customHeight="1">
      <c r="A693" s="40"/>
      <c r="B693" s="40"/>
      <c r="C693" s="40"/>
      <c r="D693" s="40"/>
      <c r="E693" s="40"/>
      <c r="F693" s="40"/>
    </row>
    <row r="694" ht="15.75" customHeight="1">
      <c r="A694" s="40"/>
      <c r="B694" s="40"/>
      <c r="C694" s="40"/>
      <c r="D694" s="40"/>
      <c r="E694" s="40"/>
      <c r="F694" s="40"/>
    </row>
    <row r="695" ht="15.75" customHeight="1">
      <c r="A695" s="40"/>
      <c r="B695" s="40"/>
      <c r="C695" s="40"/>
      <c r="D695" s="40"/>
      <c r="E695" s="40"/>
      <c r="F695" s="40"/>
    </row>
    <row r="696" ht="15.75" customHeight="1">
      <c r="A696" s="40"/>
      <c r="B696" s="40"/>
      <c r="C696" s="40"/>
      <c r="D696" s="40"/>
      <c r="E696" s="40"/>
      <c r="F696" s="40"/>
    </row>
    <row r="697" ht="15.75" customHeight="1">
      <c r="A697" s="40"/>
      <c r="B697" s="40"/>
      <c r="C697" s="40"/>
      <c r="D697" s="40"/>
      <c r="E697" s="40"/>
      <c r="F697" s="40"/>
    </row>
    <row r="698" ht="15.75" customHeight="1">
      <c r="A698" s="40"/>
      <c r="B698" s="40"/>
      <c r="C698" s="40"/>
      <c r="D698" s="40"/>
      <c r="E698" s="40"/>
      <c r="F698" s="40"/>
    </row>
    <row r="699" ht="15.75" customHeight="1">
      <c r="A699" s="40"/>
      <c r="B699" s="40"/>
      <c r="C699" s="40"/>
      <c r="D699" s="40"/>
      <c r="E699" s="40"/>
      <c r="F699" s="40"/>
    </row>
    <row r="700" ht="15.75" customHeight="1">
      <c r="A700" s="40"/>
      <c r="B700" s="40"/>
      <c r="C700" s="40"/>
      <c r="D700" s="40"/>
      <c r="E700" s="40"/>
      <c r="F700" s="40"/>
    </row>
    <row r="701" ht="15.75" customHeight="1">
      <c r="A701" s="40"/>
      <c r="B701" s="40"/>
      <c r="C701" s="40"/>
      <c r="D701" s="40"/>
      <c r="E701" s="40"/>
      <c r="F701" s="40"/>
    </row>
    <row r="702" ht="15.75" customHeight="1">
      <c r="A702" s="40"/>
      <c r="B702" s="40"/>
      <c r="C702" s="40"/>
      <c r="D702" s="40"/>
      <c r="E702" s="40"/>
      <c r="F702" s="40"/>
    </row>
    <row r="703" ht="15.75" customHeight="1">
      <c r="A703" s="40"/>
      <c r="B703" s="40"/>
      <c r="C703" s="40"/>
      <c r="D703" s="40"/>
      <c r="E703" s="40"/>
      <c r="F703" s="40"/>
    </row>
    <row r="704" ht="15.75" customHeight="1">
      <c r="A704" s="40"/>
      <c r="B704" s="40"/>
      <c r="C704" s="40"/>
      <c r="D704" s="40"/>
      <c r="E704" s="40"/>
      <c r="F704" s="40"/>
    </row>
    <row r="705" ht="15.75" customHeight="1">
      <c r="A705" s="40"/>
      <c r="B705" s="40"/>
      <c r="C705" s="40"/>
      <c r="D705" s="40"/>
      <c r="E705" s="40"/>
      <c r="F705" s="40"/>
    </row>
    <row r="706" ht="15.75" customHeight="1">
      <c r="A706" s="40"/>
      <c r="B706" s="40"/>
      <c r="C706" s="40"/>
      <c r="D706" s="40"/>
      <c r="E706" s="40"/>
      <c r="F706" s="40"/>
    </row>
    <row r="707" ht="15.75" customHeight="1">
      <c r="A707" s="40"/>
      <c r="B707" s="40"/>
      <c r="C707" s="40"/>
      <c r="D707" s="40"/>
      <c r="E707" s="40"/>
      <c r="F707" s="40"/>
    </row>
    <row r="708" ht="15.75" customHeight="1">
      <c r="A708" s="40"/>
      <c r="B708" s="40"/>
      <c r="C708" s="40"/>
      <c r="D708" s="40"/>
      <c r="E708" s="40"/>
      <c r="F708" s="40"/>
    </row>
    <row r="709" ht="15.75" customHeight="1">
      <c r="A709" s="40"/>
      <c r="B709" s="40"/>
      <c r="C709" s="40"/>
      <c r="D709" s="40"/>
      <c r="E709" s="40"/>
      <c r="F709" s="40"/>
    </row>
    <row r="710" ht="15.75" customHeight="1">
      <c r="A710" s="40"/>
      <c r="B710" s="40"/>
      <c r="C710" s="40"/>
      <c r="D710" s="40"/>
      <c r="E710" s="40"/>
      <c r="F710" s="40"/>
    </row>
    <row r="711" ht="15.75" customHeight="1">
      <c r="A711" s="40"/>
      <c r="B711" s="40"/>
      <c r="C711" s="40"/>
      <c r="D711" s="40"/>
      <c r="E711" s="40"/>
      <c r="F711" s="40"/>
    </row>
    <row r="712" ht="15.75" customHeight="1">
      <c r="A712" s="40"/>
      <c r="B712" s="40"/>
      <c r="C712" s="40"/>
      <c r="D712" s="40"/>
      <c r="E712" s="40"/>
      <c r="F712" s="40"/>
    </row>
    <row r="713" ht="15.75" customHeight="1">
      <c r="A713" s="40"/>
      <c r="B713" s="40"/>
      <c r="C713" s="40"/>
      <c r="D713" s="40"/>
      <c r="E713" s="40"/>
      <c r="F713" s="40"/>
    </row>
    <row r="714" ht="15.75" customHeight="1">
      <c r="A714" s="40"/>
      <c r="B714" s="40"/>
      <c r="C714" s="40"/>
      <c r="D714" s="40"/>
      <c r="E714" s="40"/>
      <c r="F714" s="40"/>
    </row>
    <row r="715" ht="15.75" customHeight="1">
      <c r="A715" s="40"/>
      <c r="B715" s="40"/>
      <c r="C715" s="40"/>
      <c r="D715" s="40"/>
      <c r="E715" s="40"/>
      <c r="F715" s="40"/>
    </row>
    <row r="716" ht="15.75" customHeight="1">
      <c r="A716" s="40"/>
      <c r="B716" s="40"/>
      <c r="C716" s="40"/>
      <c r="D716" s="40"/>
      <c r="E716" s="40"/>
      <c r="F716" s="40"/>
    </row>
    <row r="717" ht="15.75" customHeight="1">
      <c r="A717" s="40"/>
      <c r="B717" s="40"/>
      <c r="C717" s="40"/>
      <c r="D717" s="40"/>
      <c r="E717" s="40"/>
      <c r="F717" s="40"/>
    </row>
    <row r="718" ht="15.75" customHeight="1">
      <c r="A718" s="40"/>
      <c r="B718" s="40"/>
      <c r="C718" s="40"/>
      <c r="D718" s="40"/>
      <c r="E718" s="40"/>
      <c r="F718" s="40"/>
    </row>
    <row r="719" ht="15.75" customHeight="1">
      <c r="A719" s="40"/>
      <c r="B719" s="40"/>
      <c r="C719" s="40"/>
      <c r="D719" s="40"/>
      <c r="E719" s="40"/>
      <c r="F719" s="40"/>
    </row>
    <row r="720" ht="15.75" customHeight="1">
      <c r="A720" s="40"/>
      <c r="B720" s="40"/>
      <c r="C720" s="40"/>
      <c r="D720" s="40"/>
      <c r="E720" s="40"/>
      <c r="F720" s="40"/>
    </row>
    <row r="721" ht="15.75" customHeight="1">
      <c r="A721" s="40"/>
      <c r="B721" s="40"/>
      <c r="C721" s="40"/>
      <c r="D721" s="40"/>
      <c r="E721" s="40"/>
      <c r="F721" s="40"/>
    </row>
    <row r="722" ht="15.75" customHeight="1">
      <c r="A722" s="40"/>
      <c r="B722" s="40"/>
      <c r="C722" s="40"/>
      <c r="D722" s="40"/>
      <c r="E722" s="40"/>
      <c r="F722" s="40"/>
    </row>
    <row r="723" ht="15.75" customHeight="1">
      <c r="A723" s="40"/>
      <c r="B723" s="40"/>
      <c r="C723" s="40"/>
      <c r="D723" s="40"/>
      <c r="E723" s="40"/>
      <c r="F723" s="40"/>
    </row>
    <row r="724" ht="15.75" customHeight="1">
      <c r="A724" s="40"/>
      <c r="B724" s="40"/>
      <c r="C724" s="40"/>
      <c r="D724" s="40"/>
      <c r="E724" s="40"/>
      <c r="F724" s="40"/>
    </row>
    <row r="725" ht="15.75" customHeight="1">
      <c r="A725" s="40"/>
      <c r="B725" s="40"/>
      <c r="C725" s="40"/>
      <c r="D725" s="40"/>
      <c r="E725" s="40"/>
      <c r="F725" s="40"/>
    </row>
    <row r="726" ht="15.75" customHeight="1">
      <c r="A726" s="40"/>
      <c r="B726" s="40"/>
      <c r="C726" s="40"/>
      <c r="D726" s="40"/>
      <c r="E726" s="40"/>
      <c r="F726" s="40"/>
    </row>
    <row r="727" ht="15.75" customHeight="1">
      <c r="A727" s="40"/>
      <c r="B727" s="40"/>
      <c r="C727" s="40"/>
      <c r="D727" s="40"/>
      <c r="E727" s="40"/>
      <c r="F727" s="40"/>
    </row>
    <row r="728" ht="15.75" customHeight="1">
      <c r="A728" s="40"/>
      <c r="B728" s="40"/>
      <c r="C728" s="40"/>
      <c r="D728" s="40"/>
      <c r="E728" s="40"/>
      <c r="F728" s="40"/>
    </row>
    <row r="729" ht="15.75" customHeight="1">
      <c r="A729" s="40"/>
      <c r="B729" s="40"/>
      <c r="C729" s="40"/>
      <c r="D729" s="40"/>
      <c r="E729" s="40"/>
      <c r="F729" s="40"/>
    </row>
    <row r="730" ht="15.75" customHeight="1">
      <c r="A730" s="40"/>
      <c r="B730" s="40"/>
      <c r="C730" s="40"/>
      <c r="D730" s="40"/>
      <c r="E730" s="40"/>
      <c r="F730" s="40"/>
    </row>
    <row r="731" ht="15.75" customHeight="1">
      <c r="A731" s="40"/>
      <c r="B731" s="40"/>
      <c r="C731" s="40"/>
      <c r="D731" s="40"/>
      <c r="E731" s="40"/>
      <c r="F731" s="40"/>
    </row>
    <row r="732" ht="15.75" customHeight="1">
      <c r="A732" s="40"/>
      <c r="B732" s="40"/>
      <c r="C732" s="40"/>
      <c r="D732" s="40"/>
      <c r="E732" s="40"/>
      <c r="F732" s="40"/>
    </row>
    <row r="733" ht="15.75" customHeight="1">
      <c r="A733" s="40"/>
      <c r="B733" s="40"/>
      <c r="C733" s="40"/>
      <c r="D733" s="40"/>
      <c r="E733" s="40"/>
      <c r="F733" s="40"/>
    </row>
    <row r="734" ht="15.75" customHeight="1">
      <c r="A734" s="40"/>
      <c r="B734" s="40"/>
      <c r="C734" s="40"/>
      <c r="D734" s="40"/>
      <c r="E734" s="40"/>
      <c r="F734" s="40"/>
    </row>
    <row r="735" ht="15.75" customHeight="1">
      <c r="A735" s="40"/>
      <c r="B735" s="40"/>
      <c r="C735" s="40"/>
      <c r="D735" s="40"/>
      <c r="E735" s="40"/>
      <c r="F735" s="40"/>
    </row>
    <row r="736" ht="15.75" customHeight="1">
      <c r="A736" s="40"/>
      <c r="B736" s="40"/>
      <c r="C736" s="40"/>
      <c r="D736" s="40"/>
      <c r="E736" s="40"/>
      <c r="F736" s="40"/>
    </row>
    <row r="737" ht="15.75" customHeight="1">
      <c r="A737" s="40"/>
      <c r="B737" s="40"/>
      <c r="C737" s="40"/>
      <c r="D737" s="40"/>
      <c r="E737" s="40"/>
      <c r="F737" s="40"/>
    </row>
    <row r="738" ht="15.75" customHeight="1">
      <c r="A738" s="40"/>
      <c r="B738" s="40"/>
      <c r="C738" s="40"/>
      <c r="D738" s="40"/>
      <c r="E738" s="40"/>
      <c r="F738" s="40"/>
    </row>
    <row r="739" ht="15.75" customHeight="1">
      <c r="A739" s="40"/>
      <c r="B739" s="40"/>
      <c r="C739" s="40"/>
      <c r="D739" s="40"/>
      <c r="E739" s="40"/>
      <c r="F739" s="40"/>
    </row>
    <row r="740" ht="15.75" customHeight="1">
      <c r="A740" s="40"/>
      <c r="B740" s="40"/>
      <c r="C740" s="40"/>
      <c r="D740" s="40"/>
      <c r="E740" s="40"/>
      <c r="F740" s="40"/>
    </row>
    <row r="741" ht="15.75" customHeight="1">
      <c r="A741" s="40"/>
      <c r="B741" s="40"/>
      <c r="C741" s="40"/>
      <c r="D741" s="40"/>
      <c r="E741" s="40"/>
      <c r="F741" s="40"/>
    </row>
    <row r="742" ht="15.75" customHeight="1">
      <c r="A742" s="40"/>
      <c r="B742" s="40"/>
      <c r="C742" s="40"/>
      <c r="D742" s="40"/>
      <c r="E742" s="40"/>
      <c r="F742" s="40"/>
    </row>
    <row r="743" ht="15.75" customHeight="1">
      <c r="A743" s="40"/>
      <c r="B743" s="40"/>
      <c r="C743" s="40"/>
      <c r="D743" s="40"/>
      <c r="E743" s="40"/>
      <c r="F743" s="40"/>
    </row>
    <row r="744" ht="15.75" customHeight="1">
      <c r="A744" s="40"/>
      <c r="B744" s="40"/>
      <c r="C744" s="40"/>
      <c r="D744" s="40"/>
      <c r="E744" s="40"/>
      <c r="F744" s="40"/>
    </row>
    <row r="745" ht="15.75" customHeight="1">
      <c r="A745" s="40"/>
      <c r="B745" s="40"/>
      <c r="C745" s="40"/>
      <c r="D745" s="40"/>
      <c r="E745" s="40"/>
      <c r="F745" s="40"/>
    </row>
    <row r="746" ht="15.75" customHeight="1">
      <c r="A746" s="40"/>
      <c r="B746" s="40"/>
      <c r="C746" s="40"/>
      <c r="D746" s="40"/>
      <c r="E746" s="40"/>
      <c r="F746" s="40"/>
    </row>
    <row r="747" ht="15.75" customHeight="1">
      <c r="A747" s="40"/>
      <c r="B747" s="40"/>
      <c r="C747" s="40"/>
      <c r="D747" s="40"/>
      <c r="E747" s="40"/>
      <c r="F747" s="40"/>
    </row>
    <row r="748" ht="15.75" customHeight="1">
      <c r="A748" s="40"/>
      <c r="B748" s="40"/>
      <c r="C748" s="40"/>
      <c r="D748" s="40"/>
      <c r="E748" s="40"/>
      <c r="F748" s="40"/>
    </row>
    <row r="749" ht="15.75" customHeight="1">
      <c r="A749" s="40"/>
      <c r="B749" s="40"/>
      <c r="C749" s="40"/>
      <c r="D749" s="40"/>
      <c r="E749" s="40"/>
      <c r="F749" s="40"/>
    </row>
    <row r="750" ht="15.75" customHeight="1">
      <c r="A750" s="40"/>
      <c r="B750" s="40"/>
      <c r="C750" s="40"/>
      <c r="D750" s="40"/>
      <c r="E750" s="40"/>
      <c r="F750" s="40"/>
    </row>
    <row r="751" ht="15.75" customHeight="1">
      <c r="A751" s="40"/>
      <c r="B751" s="40"/>
      <c r="C751" s="40"/>
      <c r="D751" s="40"/>
      <c r="E751" s="40"/>
      <c r="F751" s="40"/>
    </row>
    <row r="752" ht="15.75" customHeight="1">
      <c r="A752" s="40"/>
      <c r="B752" s="40"/>
      <c r="C752" s="40"/>
      <c r="D752" s="40"/>
      <c r="E752" s="40"/>
      <c r="F752" s="40"/>
    </row>
    <row r="753" ht="15.75" customHeight="1">
      <c r="A753" s="40"/>
      <c r="B753" s="40"/>
      <c r="C753" s="40"/>
      <c r="D753" s="40"/>
      <c r="E753" s="40"/>
      <c r="F753" s="40"/>
    </row>
    <row r="754" ht="15.75" customHeight="1">
      <c r="A754" s="40"/>
      <c r="B754" s="40"/>
      <c r="C754" s="40"/>
      <c r="D754" s="40"/>
      <c r="E754" s="40"/>
      <c r="F754" s="40"/>
    </row>
    <row r="755" ht="15.75" customHeight="1">
      <c r="A755" s="40"/>
      <c r="B755" s="40"/>
      <c r="C755" s="40"/>
      <c r="D755" s="40"/>
      <c r="E755" s="40"/>
      <c r="F755" s="40"/>
    </row>
    <row r="756" ht="15.75" customHeight="1">
      <c r="A756" s="40"/>
      <c r="B756" s="40"/>
      <c r="C756" s="40"/>
      <c r="D756" s="40"/>
      <c r="E756" s="40"/>
      <c r="F756" s="40"/>
    </row>
    <row r="757" ht="15.75" customHeight="1">
      <c r="A757" s="40"/>
      <c r="B757" s="40"/>
      <c r="C757" s="40"/>
      <c r="D757" s="40"/>
      <c r="E757" s="40"/>
      <c r="F757" s="40"/>
    </row>
    <row r="758" ht="15.75" customHeight="1">
      <c r="A758" s="40"/>
      <c r="B758" s="40"/>
      <c r="C758" s="40"/>
      <c r="D758" s="40"/>
      <c r="E758" s="40"/>
      <c r="F758" s="40"/>
    </row>
    <row r="759" ht="15.75" customHeight="1">
      <c r="A759" s="40"/>
      <c r="B759" s="40"/>
      <c r="C759" s="40"/>
      <c r="D759" s="40"/>
      <c r="E759" s="40"/>
      <c r="F759" s="40"/>
    </row>
    <row r="760" ht="15.75" customHeight="1">
      <c r="A760" s="40"/>
      <c r="B760" s="40"/>
      <c r="C760" s="40"/>
      <c r="D760" s="40"/>
      <c r="E760" s="40"/>
      <c r="F760" s="40"/>
    </row>
    <row r="761" ht="15.75" customHeight="1">
      <c r="A761" s="40"/>
      <c r="B761" s="40"/>
      <c r="C761" s="40"/>
      <c r="D761" s="40"/>
      <c r="E761" s="40"/>
      <c r="F761" s="40"/>
    </row>
    <row r="762" ht="15.75" customHeight="1">
      <c r="A762" s="40"/>
      <c r="B762" s="40"/>
      <c r="C762" s="40"/>
      <c r="D762" s="40"/>
      <c r="E762" s="40"/>
      <c r="F762" s="40"/>
    </row>
    <row r="763" ht="15.75" customHeight="1">
      <c r="A763" s="40"/>
      <c r="B763" s="40"/>
      <c r="C763" s="40"/>
      <c r="D763" s="40"/>
      <c r="E763" s="40"/>
      <c r="F763" s="40"/>
    </row>
    <row r="764" ht="15.75" customHeight="1">
      <c r="A764" s="40"/>
      <c r="B764" s="40"/>
      <c r="C764" s="40"/>
      <c r="D764" s="40"/>
      <c r="E764" s="40"/>
      <c r="F764" s="40"/>
    </row>
    <row r="765" ht="15.75" customHeight="1">
      <c r="A765" s="40"/>
      <c r="B765" s="40"/>
      <c r="C765" s="40"/>
      <c r="D765" s="40"/>
      <c r="E765" s="40"/>
      <c r="F765" s="40"/>
    </row>
    <row r="766" ht="15.75" customHeight="1">
      <c r="A766" s="40"/>
      <c r="B766" s="40"/>
      <c r="C766" s="40"/>
      <c r="D766" s="40"/>
      <c r="E766" s="40"/>
      <c r="F766" s="40"/>
    </row>
    <row r="767" ht="15.75" customHeight="1">
      <c r="A767" s="40"/>
      <c r="B767" s="40"/>
      <c r="C767" s="40"/>
      <c r="D767" s="40"/>
      <c r="E767" s="40"/>
      <c r="F767" s="40"/>
    </row>
    <row r="768" ht="15.75" customHeight="1">
      <c r="A768" s="40"/>
      <c r="B768" s="40"/>
      <c r="C768" s="40"/>
      <c r="D768" s="40"/>
      <c r="E768" s="40"/>
      <c r="F768" s="40"/>
    </row>
    <row r="769" ht="15.75" customHeight="1">
      <c r="A769" s="40"/>
      <c r="B769" s="40"/>
      <c r="C769" s="40"/>
      <c r="D769" s="40"/>
      <c r="E769" s="40"/>
      <c r="F769" s="40"/>
    </row>
    <row r="770" ht="15.75" customHeight="1">
      <c r="A770" s="40"/>
      <c r="B770" s="40"/>
      <c r="C770" s="40"/>
      <c r="D770" s="40"/>
      <c r="E770" s="40"/>
      <c r="F770" s="40"/>
    </row>
    <row r="771" ht="15.75" customHeight="1">
      <c r="A771" s="40"/>
      <c r="B771" s="40"/>
      <c r="C771" s="40"/>
      <c r="D771" s="40"/>
      <c r="E771" s="40"/>
      <c r="F771" s="40"/>
    </row>
    <row r="772" ht="15.75" customHeight="1">
      <c r="A772" s="40"/>
      <c r="B772" s="40"/>
      <c r="C772" s="40"/>
      <c r="D772" s="40"/>
      <c r="E772" s="40"/>
      <c r="F772" s="40"/>
    </row>
    <row r="773" ht="15.75" customHeight="1">
      <c r="A773" s="40"/>
      <c r="B773" s="40"/>
      <c r="C773" s="40"/>
      <c r="D773" s="40"/>
      <c r="E773" s="40"/>
      <c r="F773" s="40"/>
    </row>
    <row r="774" ht="15.75" customHeight="1">
      <c r="A774" s="40"/>
      <c r="B774" s="40"/>
      <c r="C774" s="40"/>
      <c r="D774" s="40"/>
      <c r="E774" s="40"/>
      <c r="F774" s="40"/>
    </row>
    <row r="775" ht="15.75" customHeight="1">
      <c r="A775" s="40"/>
      <c r="B775" s="40"/>
      <c r="C775" s="40"/>
      <c r="D775" s="40"/>
      <c r="E775" s="40"/>
      <c r="F775" s="40"/>
    </row>
    <row r="776" ht="15.75" customHeight="1">
      <c r="A776" s="40"/>
      <c r="B776" s="40"/>
      <c r="C776" s="40"/>
      <c r="D776" s="40"/>
      <c r="E776" s="40"/>
      <c r="F776" s="40"/>
    </row>
    <row r="777" ht="15.75" customHeight="1">
      <c r="A777" s="40"/>
      <c r="B777" s="40"/>
      <c r="C777" s="40"/>
      <c r="D777" s="40"/>
      <c r="E777" s="40"/>
      <c r="F777" s="40"/>
    </row>
    <row r="778" ht="15.75" customHeight="1">
      <c r="A778" s="40"/>
      <c r="B778" s="40"/>
      <c r="C778" s="40"/>
      <c r="D778" s="40"/>
      <c r="E778" s="40"/>
      <c r="F778" s="40"/>
    </row>
    <row r="779" ht="15.75" customHeight="1">
      <c r="A779" s="40"/>
      <c r="B779" s="40"/>
      <c r="C779" s="40"/>
      <c r="D779" s="40"/>
      <c r="E779" s="40"/>
      <c r="F779" s="40"/>
    </row>
    <row r="780" ht="15.75" customHeight="1">
      <c r="A780" s="40"/>
      <c r="B780" s="40"/>
      <c r="C780" s="40"/>
      <c r="D780" s="40"/>
      <c r="E780" s="40"/>
      <c r="F780" s="40"/>
    </row>
    <row r="781" ht="15.75" customHeight="1">
      <c r="A781" s="40"/>
      <c r="B781" s="40"/>
      <c r="C781" s="40"/>
      <c r="D781" s="40"/>
      <c r="E781" s="40"/>
      <c r="F781" s="40"/>
    </row>
    <row r="782" ht="15.75" customHeight="1">
      <c r="A782" s="40"/>
      <c r="B782" s="40"/>
      <c r="C782" s="40"/>
      <c r="D782" s="40"/>
      <c r="E782" s="40"/>
      <c r="F782" s="40"/>
    </row>
    <row r="783" ht="15.75" customHeight="1">
      <c r="A783" s="40"/>
      <c r="B783" s="40"/>
      <c r="C783" s="40"/>
      <c r="D783" s="40"/>
      <c r="E783" s="40"/>
      <c r="F783" s="40"/>
    </row>
    <row r="784" ht="15.75" customHeight="1">
      <c r="A784" s="40"/>
      <c r="B784" s="40"/>
      <c r="C784" s="40"/>
      <c r="D784" s="40"/>
      <c r="E784" s="40"/>
      <c r="F784" s="40"/>
    </row>
    <row r="785" ht="15.75" customHeight="1">
      <c r="A785" s="40"/>
      <c r="B785" s="40"/>
      <c r="C785" s="40"/>
      <c r="D785" s="40"/>
      <c r="E785" s="40"/>
      <c r="F785" s="40"/>
    </row>
    <row r="786" ht="15.75" customHeight="1">
      <c r="A786" s="40"/>
      <c r="B786" s="40"/>
      <c r="C786" s="40"/>
      <c r="D786" s="40"/>
      <c r="E786" s="40"/>
      <c r="F786" s="40"/>
    </row>
    <row r="787" ht="15.75" customHeight="1">
      <c r="A787" s="40"/>
      <c r="B787" s="40"/>
      <c r="C787" s="40"/>
      <c r="D787" s="40"/>
      <c r="E787" s="40"/>
      <c r="F787" s="40"/>
    </row>
    <row r="788" ht="15.75" customHeight="1">
      <c r="A788" s="40"/>
      <c r="B788" s="40"/>
      <c r="C788" s="40"/>
      <c r="D788" s="40"/>
      <c r="E788" s="40"/>
      <c r="F788" s="40"/>
    </row>
    <row r="789" ht="15.75" customHeight="1">
      <c r="A789" s="40"/>
      <c r="B789" s="40"/>
      <c r="C789" s="40"/>
      <c r="D789" s="40"/>
      <c r="E789" s="40"/>
      <c r="F789" s="40"/>
    </row>
    <row r="790" ht="15.75" customHeight="1">
      <c r="A790" s="40"/>
      <c r="B790" s="40"/>
      <c r="C790" s="40"/>
      <c r="D790" s="40"/>
      <c r="E790" s="40"/>
      <c r="F790" s="40"/>
    </row>
    <row r="791" ht="15.75" customHeight="1">
      <c r="A791" s="40"/>
      <c r="B791" s="40"/>
      <c r="C791" s="40"/>
      <c r="D791" s="40"/>
      <c r="E791" s="40"/>
      <c r="F791" s="40"/>
    </row>
    <row r="792" ht="15.75" customHeight="1">
      <c r="A792" s="40"/>
      <c r="B792" s="40"/>
      <c r="C792" s="40"/>
      <c r="D792" s="40"/>
      <c r="E792" s="40"/>
      <c r="F792" s="40"/>
    </row>
    <row r="793" ht="15.75" customHeight="1">
      <c r="A793" s="40"/>
      <c r="B793" s="40"/>
      <c r="C793" s="40"/>
      <c r="D793" s="40"/>
      <c r="E793" s="40"/>
      <c r="F793" s="40"/>
    </row>
    <row r="794" ht="15.75" customHeight="1">
      <c r="A794" s="40"/>
      <c r="B794" s="40"/>
      <c r="C794" s="40"/>
      <c r="D794" s="40"/>
      <c r="E794" s="40"/>
      <c r="F794" s="40"/>
    </row>
    <row r="795" ht="15.75" customHeight="1">
      <c r="A795" s="40"/>
      <c r="B795" s="40"/>
      <c r="C795" s="40"/>
      <c r="D795" s="40"/>
      <c r="E795" s="40"/>
      <c r="F795" s="40"/>
    </row>
    <row r="796" ht="15.75" customHeight="1">
      <c r="A796" s="40"/>
      <c r="B796" s="40"/>
      <c r="C796" s="40"/>
      <c r="D796" s="40"/>
      <c r="E796" s="40"/>
      <c r="F796" s="40"/>
    </row>
    <row r="797" ht="15.75" customHeight="1">
      <c r="A797" s="40"/>
      <c r="B797" s="40"/>
      <c r="C797" s="40"/>
      <c r="D797" s="40"/>
      <c r="E797" s="40"/>
      <c r="F797" s="40"/>
    </row>
    <row r="798" ht="15.75" customHeight="1">
      <c r="A798" s="40"/>
      <c r="B798" s="40"/>
      <c r="C798" s="40"/>
      <c r="D798" s="40"/>
      <c r="E798" s="40"/>
      <c r="F798" s="40"/>
    </row>
    <row r="799" ht="15.75" customHeight="1">
      <c r="A799" s="40"/>
      <c r="B799" s="40"/>
      <c r="C799" s="40"/>
      <c r="D799" s="40"/>
      <c r="E799" s="40"/>
      <c r="F799" s="40"/>
    </row>
    <row r="800" ht="15.75" customHeight="1">
      <c r="A800" s="40"/>
      <c r="B800" s="40"/>
      <c r="C800" s="40"/>
      <c r="D800" s="40"/>
      <c r="E800" s="40"/>
      <c r="F800" s="40"/>
    </row>
    <row r="801" ht="15.75" customHeight="1">
      <c r="A801" s="40"/>
      <c r="B801" s="40"/>
      <c r="C801" s="40"/>
      <c r="D801" s="40"/>
      <c r="E801" s="40"/>
      <c r="F801" s="40"/>
    </row>
    <row r="802" ht="15.75" customHeight="1">
      <c r="A802" s="40"/>
      <c r="B802" s="40"/>
      <c r="C802" s="40"/>
      <c r="D802" s="40"/>
      <c r="E802" s="40"/>
      <c r="F802" s="40"/>
    </row>
    <row r="803" ht="15.75" customHeight="1">
      <c r="A803" s="40"/>
      <c r="B803" s="40"/>
      <c r="C803" s="40"/>
      <c r="D803" s="40"/>
      <c r="E803" s="40"/>
      <c r="F803" s="40"/>
    </row>
    <row r="804" ht="15.75" customHeight="1">
      <c r="A804" s="40"/>
      <c r="B804" s="40"/>
      <c r="C804" s="40"/>
      <c r="D804" s="40"/>
      <c r="E804" s="40"/>
      <c r="F804" s="40"/>
    </row>
    <row r="805" ht="15.75" customHeight="1">
      <c r="A805" s="40"/>
      <c r="B805" s="40"/>
      <c r="C805" s="40"/>
      <c r="D805" s="40"/>
      <c r="E805" s="40"/>
      <c r="F805" s="40"/>
    </row>
    <row r="806" ht="15.75" customHeight="1">
      <c r="A806" s="40"/>
      <c r="B806" s="40"/>
      <c r="C806" s="40"/>
      <c r="D806" s="40"/>
      <c r="E806" s="40"/>
      <c r="F806" s="40"/>
    </row>
    <row r="807" ht="15.75" customHeight="1">
      <c r="A807" s="40"/>
      <c r="B807" s="40"/>
      <c r="C807" s="40"/>
      <c r="D807" s="40"/>
      <c r="E807" s="40"/>
      <c r="F807" s="40"/>
    </row>
    <row r="808" ht="15.75" customHeight="1">
      <c r="A808" s="40"/>
      <c r="B808" s="40"/>
      <c r="C808" s="40"/>
      <c r="D808" s="40"/>
      <c r="E808" s="40"/>
      <c r="F808" s="40"/>
    </row>
    <row r="809" ht="15.75" customHeight="1">
      <c r="A809" s="40"/>
      <c r="B809" s="40"/>
      <c r="C809" s="40"/>
      <c r="D809" s="40"/>
      <c r="E809" s="40"/>
      <c r="F809" s="40"/>
    </row>
    <row r="810" ht="15.75" customHeight="1">
      <c r="A810" s="40"/>
      <c r="B810" s="40"/>
      <c r="C810" s="40"/>
      <c r="D810" s="40"/>
      <c r="E810" s="40"/>
      <c r="F810" s="40"/>
    </row>
    <row r="811" ht="15.75" customHeight="1">
      <c r="A811" s="40"/>
      <c r="B811" s="40"/>
      <c r="C811" s="40"/>
      <c r="D811" s="40"/>
      <c r="E811" s="40"/>
      <c r="F811" s="40"/>
    </row>
    <row r="812" ht="15.75" customHeight="1">
      <c r="A812" s="40"/>
      <c r="B812" s="40"/>
      <c r="C812" s="40"/>
      <c r="D812" s="40"/>
      <c r="E812" s="40"/>
      <c r="F812" s="40"/>
    </row>
    <row r="813" ht="15.75" customHeight="1">
      <c r="A813" s="40"/>
      <c r="B813" s="40"/>
      <c r="C813" s="40"/>
      <c r="D813" s="40"/>
      <c r="E813" s="40"/>
      <c r="F813" s="40"/>
    </row>
    <row r="814" ht="15.75" customHeight="1">
      <c r="A814" s="40"/>
      <c r="B814" s="40"/>
      <c r="C814" s="40"/>
      <c r="D814" s="40"/>
      <c r="E814" s="40"/>
      <c r="F814" s="40"/>
    </row>
    <row r="815" ht="15.75" customHeight="1">
      <c r="A815" s="40"/>
      <c r="B815" s="40"/>
      <c r="C815" s="40"/>
      <c r="D815" s="40"/>
      <c r="E815" s="40"/>
      <c r="F815" s="40"/>
    </row>
    <row r="816" ht="15.75" customHeight="1">
      <c r="A816" s="40"/>
      <c r="B816" s="40"/>
      <c r="C816" s="40"/>
      <c r="D816" s="40"/>
      <c r="E816" s="40"/>
      <c r="F816" s="40"/>
    </row>
    <row r="817" ht="15.75" customHeight="1">
      <c r="A817" s="40"/>
      <c r="B817" s="40"/>
      <c r="C817" s="40"/>
      <c r="D817" s="40"/>
      <c r="E817" s="40"/>
      <c r="F817" s="40"/>
    </row>
    <row r="818" ht="15.75" customHeight="1">
      <c r="A818" s="40"/>
      <c r="B818" s="40"/>
      <c r="C818" s="40"/>
      <c r="D818" s="40"/>
      <c r="E818" s="40"/>
      <c r="F818" s="40"/>
    </row>
    <row r="819" ht="15.75" customHeight="1">
      <c r="A819" s="40"/>
      <c r="B819" s="40"/>
      <c r="C819" s="40"/>
      <c r="D819" s="40"/>
      <c r="E819" s="40"/>
      <c r="F819" s="40"/>
    </row>
    <row r="820" ht="15.75" customHeight="1">
      <c r="A820" s="40"/>
      <c r="B820" s="40"/>
      <c r="C820" s="40"/>
      <c r="D820" s="40"/>
      <c r="E820" s="40"/>
      <c r="F820" s="40"/>
    </row>
    <row r="821" ht="15.75" customHeight="1">
      <c r="A821" s="40"/>
      <c r="B821" s="40"/>
      <c r="C821" s="40"/>
      <c r="D821" s="40"/>
      <c r="E821" s="40"/>
      <c r="F821" s="40"/>
    </row>
    <row r="822" ht="15.75" customHeight="1">
      <c r="A822" s="40"/>
      <c r="B822" s="40"/>
      <c r="C822" s="40"/>
      <c r="D822" s="40"/>
      <c r="E822" s="40"/>
      <c r="F822" s="40"/>
    </row>
    <row r="823" ht="15.75" customHeight="1">
      <c r="A823" s="40"/>
      <c r="B823" s="40"/>
      <c r="C823" s="40"/>
      <c r="D823" s="40"/>
      <c r="E823" s="40"/>
      <c r="F823" s="40"/>
    </row>
    <row r="824" ht="15.75" customHeight="1">
      <c r="A824" s="40"/>
      <c r="B824" s="40"/>
      <c r="C824" s="40"/>
      <c r="D824" s="40"/>
      <c r="E824" s="40"/>
      <c r="F824" s="40"/>
    </row>
    <row r="825" ht="15.75" customHeight="1">
      <c r="A825" s="40"/>
      <c r="B825" s="40"/>
      <c r="C825" s="40"/>
      <c r="D825" s="40"/>
      <c r="E825" s="40"/>
      <c r="F825" s="40"/>
    </row>
    <row r="826" ht="15.75" customHeight="1">
      <c r="A826" s="40"/>
      <c r="B826" s="40"/>
      <c r="C826" s="40"/>
      <c r="D826" s="40"/>
      <c r="E826" s="40"/>
      <c r="F826" s="40"/>
    </row>
    <row r="827" ht="15.75" customHeight="1">
      <c r="A827" s="40"/>
      <c r="B827" s="40"/>
      <c r="C827" s="40"/>
      <c r="D827" s="40"/>
      <c r="E827" s="40"/>
      <c r="F827" s="40"/>
    </row>
    <row r="828" ht="15.75" customHeight="1">
      <c r="A828" s="40"/>
      <c r="B828" s="40"/>
      <c r="C828" s="40"/>
      <c r="D828" s="40"/>
      <c r="E828" s="40"/>
      <c r="F828" s="40"/>
    </row>
    <row r="829" ht="15.75" customHeight="1">
      <c r="A829" s="40"/>
      <c r="B829" s="40"/>
      <c r="C829" s="40"/>
      <c r="D829" s="40"/>
      <c r="E829" s="40"/>
      <c r="F829" s="40"/>
    </row>
    <row r="830" ht="15.75" customHeight="1">
      <c r="A830" s="40"/>
      <c r="B830" s="40"/>
      <c r="C830" s="40"/>
      <c r="D830" s="40"/>
      <c r="E830" s="40"/>
      <c r="F830" s="40"/>
    </row>
    <row r="831" ht="15.75" customHeight="1">
      <c r="A831" s="40"/>
      <c r="B831" s="40"/>
      <c r="C831" s="40"/>
      <c r="D831" s="40"/>
      <c r="E831" s="40"/>
      <c r="F831" s="40"/>
    </row>
    <row r="832" ht="15.75" customHeight="1">
      <c r="A832" s="40"/>
      <c r="B832" s="40"/>
      <c r="C832" s="40"/>
      <c r="D832" s="40"/>
      <c r="E832" s="40"/>
      <c r="F832" s="40"/>
    </row>
    <row r="833" ht="15.75" customHeight="1">
      <c r="A833" s="40"/>
      <c r="B833" s="40"/>
      <c r="C833" s="40"/>
      <c r="D833" s="40"/>
      <c r="E833" s="40"/>
      <c r="F833" s="40"/>
    </row>
    <row r="834" ht="15.75" customHeight="1">
      <c r="A834" s="40"/>
      <c r="B834" s="40"/>
      <c r="C834" s="40"/>
      <c r="D834" s="40"/>
      <c r="E834" s="40"/>
      <c r="F834" s="40"/>
    </row>
    <row r="835" ht="15.75" customHeight="1">
      <c r="A835" s="40"/>
      <c r="B835" s="40"/>
      <c r="C835" s="40"/>
      <c r="D835" s="40"/>
      <c r="E835" s="40"/>
      <c r="F835" s="40"/>
    </row>
    <row r="836" ht="15.75" customHeight="1">
      <c r="A836" s="40"/>
      <c r="B836" s="40"/>
      <c r="C836" s="40"/>
      <c r="D836" s="40"/>
      <c r="E836" s="40"/>
      <c r="F836" s="40"/>
    </row>
    <row r="837" ht="15.75" customHeight="1">
      <c r="A837" s="40"/>
      <c r="B837" s="40"/>
      <c r="C837" s="40"/>
      <c r="D837" s="40"/>
      <c r="E837" s="40"/>
      <c r="F837" s="40"/>
    </row>
    <row r="838" ht="15.75" customHeight="1">
      <c r="A838" s="40"/>
      <c r="B838" s="40"/>
      <c r="C838" s="40"/>
      <c r="D838" s="40"/>
      <c r="E838" s="40"/>
      <c r="F838" s="40"/>
    </row>
    <row r="839" ht="15.75" customHeight="1">
      <c r="A839" s="40"/>
      <c r="B839" s="40"/>
      <c r="C839" s="40"/>
      <c r="D839" s="40"/>
      <c r="E839" s="40"/>
      <c r="F839" s="40"/>
    </row>
    <row r="840" ht="15.75" customHeight="1">
      <c r="A840" s="40"/>
      <c r="B840" s="40"/>
      <c r="C840" s="40"/>
      <c r="D840" s="40"/>
      <c r="E840" s="40"/>
      <c r="F840" s="40"/>
    </row>
    <row r="841" ht="15.75" customHeight="1">
      <c r="A841" s="40"/>
      <c r="B841" s="40"/>
      <c r="C841" s="40"/>
      <c r="D841" s="40"/>
      <c r="E841" s="40"/>
      <c r="F841" s="40"/>
    </row>
    <row r="842" ht="15.75" customHeight="1">
      <c r="A842" s="40"/>
      <c r="B842" s="40"/>
      <c r="C842" s="40"/>
      <c r="D842" s="40"/>
      <c r="E842" s="40"/>
      <c r="F842" s="40"/>
    </row>
    <row r="843" ht="15.75" customHeight="1">
      <c r="A843" s="40"/>
      <c r="B843" s="40"/>
      <c r="C843" s="40"/>
      <c r="D843" s="40"/>
      <c r="E843" s="40"/>
      <c r="F843" s="40"/>
    </row>
    <row r="844" ht="15.75" customHeight="1">
      <c r="A844" s="40"/>
      <c r="B844" s="40"/>
      <c r="C844" s="40"/>
      <c r="D844" s="40"/>
      <c r="E844" s="40"/>
      <c r="F844" s="40"/>
    </row>
    <row r="845" ht="15.75" customHeight="1">
      <c r="A845" s="40"/>
      <c r="B845" s="40"/>
      <c r="C845" s="40"/>
      <c r="D845" s="40"/>
      <c r="E845" s="40"/>
      <c r="F845" s="40"/>
    </row>
    <row r="846" ht="15.75" customHeight="1">
      <c r="A846" s="40"/>
      <c r="B846" s="40"/>
      <c r="C846" s="40"/>
      <c r="D846" s="40"/>
      <c r="E846" s="40"/>
      <c r="F846" s="40"/>
    </row>
    <row r="847" ht="15.75" customHeight="1">
      <c r="A847" s="40"/>
      <c r="B847" s="40"/>
      <c r="C847" s="40"/>
      <c r="D847" s="40"/>
      <c r="E847" s="40"/>
      <c r="F847" s="40"/>
    </row>
    <row r="848" ht="15.75" customHeight="1">
      <c r="A848" s="40"/>
      <c r="B848" s="40"/>
      <c r="C848" s="40"/>
      <c r="D848" s="40"/>
      <c r="E848" s="40"/>
      <c r="F848" s="40"/>
    </row>
    <row r="849" ht="15.75" customHeight="1">
      <c r="A849" s="40"/>
      <c r="B849" s="40"/>
      <c r="C849" s="40"/>
      <c r="D849" s="40"/>
      <c r="E849" s="40"/>
      <c r="F849" s="40"/>
    </row>
    <row r="850" ht="15.75" customHeight="1">
      <c r="A850" s="40"/>
      <c r="B850" s="40"/>
      <c r="C850" s="40"/>
      <c r="D850" s="40"/>
      <c r="E850" s="40"/>
      <c r="F850" s="40"/>
    </row>
    <row r="851" ht="15.75" customHeight="1">
      <c r="A851" s="40"/>
      <c r="B851" s="40"/>
      <c r="C851" s="40"/>
      <c r="D851" s="40"/>
      <c r="E851" s="40"/>
      <c r="F851" s="40"/>
    </row>
    <row r="852" ht="15.75" customHeight="1">
      <c r="A852" s="40"/>
      <c r="B852" s="40"/>
      <c r="C852" s="40"/>
      <c r="D852" s="40"/>
      <c r="E852" s="40"/>
      <c r="F852" s="40"/>
    </row>
    <row r="853" ht="15.75" customHeight="1">
      <c r="A853" s="40"/>
      <c r="B853" s="40"/>
      <c r="C853" s="40"/>
      <c r="D853" s="40"/>
      <c r="E853" s="40"/>
      <c r="F853" s="40"/>
    </row>
    <row r="854" ht="15.75" customHeight="1">
      <c r="A854" s="40"/>
      <c r="B854" s="40"/>
      <c r="C854" s="40"/>
      <c r="D854" s="40"/>
      <c r="E854" s="40"/>
      <c r="F854" s="40"/>
    </row>
    <row r="855" ht="15.75" customHeight="1">
      <c r="A855" s="40"/>
      <c r="B855" s="40"/>
      <c r="C855" s="40"/>
      <c r="D855" s="40"/>
      <c r="E855" s="40"/>
      <c r="F855" s="40"/>
    </row>
    <row r="856" ht="15.75" customHeight="1">
      <c r="A856" s="40"/>
      <c r="B856" s="40"/>
      <c r="C856" s="40"/>
      <c r="D856" s="40"/>
      <c r="E856" s="40"/>
      <c r="F856" s="40"/>
    </row>
    <row r="857" ht="15.75" customHeight="1">
      <c r="A857" s="40"/>
      <c r="B857" s="40"/>
      <c r="C857" s="40"/>
      <c r="D857" s="40"/>
      <c r="E857" s="40"/>
      <c r="F857" s="40"/>
    </row>
    <row r="858" ht="15.75" customHeight="1">
      <c r="A858" s="40"/>
      <c r="B858" s="40"/>
      <c r="C858" s="40"/>
      <c r="D858" s="40"/>
      <c r="E858" s="40"/>
      <c r="F858" s="40"/>
    </row>
    <row r="859" ht="15.75" customHeight="1">
      <c r="A859" s="40"/>
      <c r="B859" s="40"/>
      <c r="C859" s="40"/>
      <c r="D859" s="40"/>
      <c r="E859" s="40"/>
      <c r="F859" s="40"/>
    </row>
    <row r="860" ht="15.75" customHeight="1">
      <c r="A860" s="40"/>
      <c r="B860" s="40"/>
      <c r="C860" s="40"/>
      <c r="D860" s="40"/>
      <c r="E860" s="40"/>
      <c r="F860" s="40"/>
    </row>
    <row r="861" ht="15.75" customHeight="1">
      <c r="A861" s="40"/>
      <c r="B861" s="40"/>
      <c r="C861" s="40"/>
      <c r="D861" s="40"/>
      <c r="E861" s="40"/>
      <c r="F861" s="40"/>
    </row>
    <row r="862" ht="15.75" customHeight="1">
      <c r="A862" s="40"/>
      <c r="B862" s="40"/>
      <c r="C862" s="40"/>
      <c r="D862" s="40"/>
      <c r="E862" s="40"/>
      <c r="F862" s="40"/>
    </row>
    <row r="863" ht="15.75" customHeight="1">
      <c r="A863" s="40"/>
      <c r="B863" s="40"/>
      <c r="C863" s="40"/>
      <c r="D863" s="40"/>
      <c r="E863" s="40"/>
      <c r="F863" s="40"/>
    </row>
    <row r="864" ht="15.75" customHeight="1">
      <c r="A864" s="40"/>
      <c r="B864" s="40"/>
      <c r="C864" s="40"/>
      <c r="D864" s="40"/>
      <c r="E864" s="40"/>
      <c r="F864" s="40"/>
    </row>
    <row r="865" ht="15.75" customHeight="1">
      <c r="A865" s="40"/>
      <c r="B865" s="40"/>
      <c r="C865" s="40"/>
      <c r="D865" s="40"/>
      <c r="E865" s="40"/>
      <c r="F865" s="40"/>
    </row>
    <row r="866" ht="15.75" customHeight="1">
      <c r="A866" s="40"/>
      <c r="B866" s="40"/>
      <c r="C866" s="40"/>
      <c r="D866" s="40"/>
      <c r="E866" s="40"/>
      <c r="F866" s="40"/>
    </row>
    <row r="867" ht="15.75" customHeight="1">
      <c r="A867" s="40"/>
      <c r="B867" s="40"/>
      <c r="C867" s="40"/>
      <c r="D867" s="40"/>
      <c r="E867" s="40"/>
      <c r="F867" s="40"/>
    </row>
    <row r="868" ht="15.75" customHeight="1">
      <c r="A868" s="40"/>
      <c r="B868" s="40"/>
      <c r="C868" s="40"/>
      <c r="D868" s="40"/>
      <c r="E868" s="40"/>
      <c r="F868" s="40"/>
    </row>
    <row r="869" ht="15.75" customHeight="1">
      <c r="A869" s="40"/>
      <c r="B869" s="40"/>
      <c r="C869" s="40"/>
      <c r="D869" s="40"/>
      <c r="E869" s="40"/>
      <c r="F869" s="40"/>
    </row>
    <row r="870" ht="15.75" customHeight="1">
      <c r="A870" s="40"/>
      <c r="B870" s="40"/>
      <c r="C870" s="40"/>
      <c r="D870" s="40"/>
      <c r="E870" s="40"/>
      <c r="F870" s="40"/>
    </row>
    <row r="871" ht="15.75" customHeight="1">
      <c r="A871" s="40"/>
      <c r="B871" s="40"/>
      <c r="C871" s="40"/>
      <c r="D871" s="40"/>
      <c r="E871" s="40"/>
      <c r="F871" s="40"/>
    </row>
    <row r="872" ht="15.75" customHeight="1">
      <c r="A872" s="40"/>
      <c r="B872" s="40"/>
      <c r="C872" s="40"/>
      <c r="D872" s="40"/>
      <c r="E872" s="40"/>
      <c r="F872" s="40"/>
    </row>
    <row r="873" ht="15.75" customHeight="1">
      <c r="A873" s="40"/>
      <c r="B873" s="40"/>
      <c r="C873" s="40"/>
      <c r="D873" s="40"/>
      <c r="E873" s="40"/>
      <c r="F873" s="40"/>
    </row>
    <row r="874" ht="15.75" customHeight="1">
      <c r="A874" s="40"/>
      <c r="B874" s="40"/>
      <c r="C874" s="40"/>
      <c r="D874" s="40"/>
      <c r="E874" s="40"/>
      <c r="F874" s="40"/>
    </row>
    <row r="875" ht="15.75" customHeight="1">
      <c r="A875" s="40"/>
      <c r="B875" s="40"/>
      <c r="C875" s="40"/>
      <c r="D875" s="40"/>
      <c r="E875" s="40"/>
      <c r="F875" s="40"/>
    </row>
    <row r="876" ht="15.75" customHeight="1">
      <c r="A876" s="40"/>
      <c r="B876" s="40"/>
      <c r="C876" s="40"/>
      <c r="D876" s="40"/>
      <c r="E876" s="40"/>
      <c r="F876" s="40"/>
    </row>
    <row r="877" ht="15.75" customHeight="1">
      <c r="A877" s="40"/>
      <c r="B877" s="40"/>
      <c r="C877" s="40"/>
      <c r="D877" s="40"/>
      <c r="E877" s="40"/>
      <c r="F877" s="40"/>
    </row>
    <row r="878" ht="15.75" customHeight="1">
      <c r="A878" s="40"/>
      <c r="B878" s="40"/>
      <c r="C878" s="40"/>
      <c r="D878" s="40"/>
      <c r="E878" s="40"/>
      <c r="F878" s="40"/>
    </row>
    <row r="879" ht="15.75" customHeight="1">
      <c r="A879" s="40"/>
      <c r="B879" s="40"/>
      <c r="C879" s="40"/>
      <c r="D879" s="40"/>
      <c r="E879" s="40"/>
      <c r="F879" s="40"/>
    </row>
    <row r="880" ht="15.75" customHeight="1">
      <c r="A880" s="40"/>
      <c r="B880" s="40"/>
      <c r="C880" s="40"/>
      <c r="D880" s="40"/>
      <c r="E880" s="40"/>
      <c r="F880" s="40"/>
    </row>
    <row r="881" ht="15.75" customHeight="1">
      <c r="A881" s="40"/>
      <c r="B881" s="40"/>
      <c r="C881" s="40"/>
      <c r="D881" s="40"/>
      <c r="E881" s="40"/>
      <c r="F881" s="40"/>
    </row>
    <row r="882" ht="15.75" customHeight="1">
      <c r="A882" s="40"/>
      <c r="B882" s="40"/>
      <c r="C882" s="40"/>
      <c r="D882" s="40"/>
      <c r="E882" s="40"/>
      <c r="F882" s="40"/>
    </row>
    <row r="883" ht="15.75" customHeight="1">
      <c r="A883" s="40"/>
      <c r="B883" s="40"/>
      <c r="C883" s="40"/>
      <c r="D883" s="40"/>
      <c r="E883" s="40"/>
      <c r="F883" s="40"/>
    </row>
    <row r="884" ht="15.75" customHeight="1">
      <c r="A884" s="40"/>
      <c r="B884" s="40"/>
      <c r="C884" s="40"/>
      <c r="D884" s="40"/>
      <c r="E884" s="40"/>
      <c r="F884" s="40"/>
    </row>
    <row r="885" ht="15.75" customHeight="1">
      <c r="A885" s="40"/>
      <c r="B885" s="40"/>
      <c r="C885" s="40"/>
      <c r="D885" s="40"/>
      <c r="E885" s="40"/>
      <c r="F885" s="40"/>
    </row>
    <row r="886" ht="15.75" customHeight="1">
      <c r="A886" s="40"/>
      <c r="B886" s="40"/>
      <c r="C886" s="40"/>
      <c r="D886" s="40"/>
      <c r="E886" s="40"/>
      <c r="F886" s="40"/>
    </row>
    <row r="887" ht="15.75" customHeight="1">
      <c r="A887" s="40"/>
      <c r="B887" s="40"/>
      <c r="C887" s="40"/>
      <c r="D887" s="40"/>
      <c r="E887" s="40"/>
      <c r="F887" s="40"/>
    </row>
    <row r="888" ht="15.75" customHeight="1">
      <c r="A888" s="40"/>
      <c r="B888" s="40"/>
      <c r="C888" s="40"/>
      <c r="D888" s="40"/>
      <c r="E888" s="40"/>
      <c r="F888" s="40"/>
    </row>
    <row r="889" ht="15.75" customHeight="1">
      <c r="A889" s="40"/>
      <c r="B889" s="40"/>
      <c r="C889" s="40"/>
      <c r="D889" s="40"/>
      <c r="E889" s="40"/>
      <c r="F889" s="40"/>
    </row>
    <row r="890" ht="15.75" customHeight="1">
      <c r="A890" s="40"/>
      <c r="B890" s="40"/>
      <c r="C890" s="40"/>
      <c r="D890" s="40"/>
      <c r="E890" s="40"/>
      <c r="F890" s="40"/>
    </row>
    <row r="891" ht="15.75" customHeight="1">
      <c r="A891" s="40"/>
      <c r="B891" s="40"/>
      <c r="C891" s="40"/>
      <c r="D891" s="40"/>
      <c r="E891" s="40"/>
      <c r="F891" s="40"/>
    </row>
    <row r="892" ht="15.75" customHeight="1">
      <c r="A892" s="40"/>
      <c r="B892" s="40"/>
      <c r="C892" s="40"/>
      <c r="D892" s="40"/>
      <c r="E892" s="40"/>
      <c r="F892" s="40"/>
    </row>
    <row r="893" ht="15.75" customHeight="1">
      <c r="A893" s="40"/>
      <c r="B893" s="40"/>
      <c r="C893" s="40"/>
      <c r="D893" s="40"/>
      <c r="E893" s="40"/>
      <c r="F893" s="40"/>
    </row>
    <row r="894" ht="15.75" customHeight="1">
      <c r="A894" s="40"/>
      <c r="B894" s="40"/>
      <c r="C894" s="40"/>
      <c r="D894" s="40"/>
      <c r="E894" s="40"/>
      <c r="F894" s="40"/>
    </row>
    <row r="895" ht="15.75" customHeight="1">
      <c r="A895" s="40"/>
      <c r="B895" s="40"/>
      <c r="C895" s="40"/>
      <c r="D895" s="40"/>
      <c r="E895" s="40"/>
      <c r="F895" s="40"/>
    </row>
    <row r="896" ht="15.75" customHeight="1">
      <c r="A896" s="40"/>
      <c r="B896" s="40"/>
      <c r="C896" s="40"/>
      <c r="D896" s="40"/>
      <c r="E896" s="40"/>
      <c r="F896" s="40"/>
    </row>
    <row r="897" ht="15.75" customHeight="1">
      <c r="A897" s="40"/>
      <c r="B897" s="40"/>
      <c r="C897" s="40"/>
      <c r="D897" s="40"/>
      <c r="E897" s="40"/>
      <c r="F897" s="40"/>
    </row>
    <row r="898" ht="15.75" customHeight="1">
      <c r="A898" s="40"/>
      <c r="B898" s="40"/>
      <c r="C898" s="40"/>
      <c r="D898" s="40"/>
      <c r="E898" s="40"/>
      <c r="F898" s="40"/>
    </row>
    <row r="899" ht="15.75" customHeight="1">
      <c r="A899" s="40"/>
      <c r="B899" s="40"/>
      <c r="C899" s="40"/>
      <c r="D899" s="40"/>
      <c r="E899" s="40"/>
      <c r="F899" s="40"/>
    </row>
    <row r="900" ht="15.75" customHeight="1">
      <c r="A900" s="40"/>
      <c r="B900" s="40"/>
      <c r="C900" s="40"/>
      <c r="D900" s="40"/>
      <c r="E900" s="40"/>
      <c r="F900" s="40"/>
    </row>
    <row r="901" ht="15.75" customHeight="1">
      <c r="A901" s="40"/>
      <c r="B901" s="40"/>
      <c r="C901" s="40"/>
      <c r="D901" s="40"/>
      <c r="E901" s="40"/>
      <c r="F901" s="40"/>
    </row>
    <row r="902" ht="15.75" customHeight="1">
      <c r="A902" s="40"/>
      <c r="B902" s="40"/>
      <c r="C902" s="40"/>
      <c r="D902" s="40"/>
      <c r="E902" s="40"/>
      <c r="F902" s="40"/>
    </row>
    <row r="903" ht="15.75" customHeight="1">
      <c r="A903" s="40"/>
      <c r="B903" s="40"/>
      <c r="C903" s="40"/>
      <c r="D903" s="40"/>
      <c r="E903" s="40"/>
      <c r="F903" s="40"/>
    </row>
    <row r="904" ht="15.75" customHeight="1">
      <c r="A904" s="40"/>
      <c r="B904" s="40"/>
      <c r="C904" s="40"/>
      <c r="D904" s="40"/>
      <c r="E904" s="40"/>
      <c r="F904" s="40"/>
    </row>
    <row r="905" ht="15.75" customHeight="1">
      <c r="A905" s="40"/>
      <c r="B905" s="40"/>
      <c r="C905" s="40"/>
      <c r="D905" s="40"/>
      <c r="E905" s="40"/>
      <c r="F905" s="40"/>
    </row>
    <row r="906" ht="15.75" customHeight="1">
      <c r="A906" s="40"/>
      <c r="B906" s="40"/>
      <c r="C906" s="40"/>
      <c r="D906" s="40"/>
      <c r="E906" s="40"/>
      <c r="F906" s="40"/>
    </row>
    <row r="907" ht="15.75" customHeight="1">
      <c r="A907" s="40"/>
      <c r="B907" s="40"/>
      <c r="C907" s="40"/>
      <c r="D907" s="40"/>
      <c r="E907" s="40"/>
      <c r="F907" s="40"/>
    </row>
    <row r="908" ht="15.75" customHeight="1">
      <c r="A908" s="40"/>
      <c r="B908" s="40"/>
      <c r="C908" s="40"/>
      <c r="D908" s="40"/>
      <c r="E908" s="40"/>
      <c r="F908" s="40"/>
    </row>
    <row r="909" ht="15.75" customHeight="1">
      <c r="A909" s="40"/>
      <c r="B909" s="40"/>
      <c r="C909" s="40"/>
      <c r="D909" s="40"/>
      <c r="E909" s="40"/>
      <c r="F909" s="40"/>
    </row>
    <row r="910" ht="15.75" customHeight="1">
      <c r="A910" s="40"/>
      <c r="B910" s="40"/>
      <c r="C910" s="40"/>
      <c r="D910" s="40"/>
      <c r="E910" s="40"/>
      <c r="F910" s="40"/>
    </row>
    <row r="911" ht="15.75" customHeight="1">
      <c r="A911" s="40"/>
      <c r="B911" s="40"/>
      <c r="C911" s="40"/>
      <c r="D911" s="40"/>
      <c r="E911" s="40"/>
      <c r="F911" s="40"/>
    </row>
    <row r="912" ht="15.75" customHeight="1">
      <c r="A912" s="40"/>
      <c r="B912" s="40"/>
      <c r="C912" s="40"/>
      <c r="D912" s="40"/>
      <c r="E912" s="40"/>
      <c r="F912" s="40"/>
    </row>
    <row r="913" ht="15.75" customHeight="1">
      <c r="A913" s="40"/>
      <c r="B913" s="40"/>
      <c r="C913" s="40"/>
      <c r="D913" s="40"/>
      <c r="E913" s="40"/>
      <c r="F913" s="40"/>
    </row>
    <row r="914" ht="15.75" customHeight="1">
      <c r="A914" s="40"/>
      <c r="B914" s="40"/>
      <c r="C914" s="40"/>
      <c r="D914" s="40"/>
      <c r="E914" s="40"/>
      <c r="F914" s="40"/>
    </row>
    <row r="915" ht="15.75" customHeight="1">
      <c r="A915" s="40"/>
      <c r="B915" s="40"/>
      <c r="C915" s="40"/>
      <c r="D915" s="40"/>
      <c r="E915" s="40"/>
      <c r="F915" s="40"/>
    </row>
    <row r="916" ht="15.75" customHeight="1">
      <c r="A916" s="40"/>
      <c r="B916" s="40"/>
      <c r="C916" s="40"/>
      <c r="D916" s="40"/>
      <c r="E916" s="40"/>
      <c r="F916" s="40"/>
    </row>
    <row r="917" ht="15.75" customHeight="1">
      <c r="A917" s="40"/>
      <c r="B917" s="40"/>
      <c r="C917" s="40"/>
      <c r="D917" s="40"/>
      <c r="E917" s="40"/>
      <c r="F917" s="40"/>
    </row>
    <row r="918" ht="15.75" customHeight="1">
      <c r="A918" s="40"/>
      <c r="B918" s="40"/>
      <c r="C918" s="40"/>
      <c r="D918" s="40"/>
      <c r="E918" s="40"/>
      <c r="F918" s="40"/>
    </row>
    <row r="919" ht="15.75" customHeight="1">
      <c r="A919" s="40"/>
      <c r="B919" s="40"/>
      <c r="C919" s="40"/>
      <c r="D919" s="40"/>
      <c r="E919" s="40"/>
      <c r="F919" s="40"/>
    </row>
    <row r="920" ht="15.75" customHeight="1">
      <c r="A920" s="40"/>
      <c r="B920" s="40"/>
      <c r="C920" s="40"/>
      <c r="D920" s="40"/>
      <c r="E920" s="40"/>
      <c r="F920" s="40"/>
    </row>
    <row r="921" ht="15.75" customHeight="1">
      <c r="A921" s="40"/>
      <c r="B921" s="40"/>
      <c r="C921" s="40"/>
      <c r="D921" s="40"/>
      <c r="E921" s="40"/>
      <c r="F921" s="40"/>
    </row>
    <row r="922" ht="15.75" customHeight="1">
      <c r="A922" s="40"/>
      <c r="B922" s="40"/>
      <c r="C922" s="40"/>
      <c r="D922" s="40"/>
      <c r="E922" s="40"/>
      <c r="F922" s="40"/>
    </row>
    <row r="923" ht="15.75" customHeight="1">
      <c r="A923" s="40"/>
      <c r="B923" s="40"/>
      <c r="C923" s="40"/>
      <c r="D923" s="40"/>
      <c r="E923" s="40"/>
      <c r="F923" s="40"/>
    </row>
    <row r="924" ht="15.75" customHeight="1">
      <c r="A924" s="40"/>
      <c r="B924" s="40"/>
      <c r="C924" s="40"/>
      <c r="D924" s="40"/>
      <c r="E924" s="40"/>
      <c r="F924" s="40"/>
    </row>
    <row r="925" ht="15.75" customHeight="1">
      <c r="A925" s="40"/>
      <c r="B925" s="40"/>
      <c r="C925" s="40"/>
      <c r="D925" s="40"/>
      <c r="E925" s="40"/>
      <c r="F925" s="40"/>
    </row>
    <row r="926" ht="15.75" customHeight="1">
      <c r="A926" s="40"/>
      <c r="B926" s="40"/>
      <c r="C926" s="40"/>
      <c r="D926" s="40"/>
      <c r="E926" s="40"/>
      <c r="F926" s="40"/>
    </row>
    <row r="927" ht="15.75" customHeight="1">
      <c r="A927" s="40"/>
      <c r="B927" s="40"/>
      <c r="C927" s="40"/>
      <c r="D927" s="40"/>
      <c r="E927" s="40"/>
      <c r="F927" s="40"/>
    </row>
    <row r="928" ht="15.75" customHeight="1">
      <c r="A928" s="40"/>
      <c r="B928" s="40"/>
      <c r="C928" s="40"/>
      <c r="D928" s="40"/>
      <c r="E928" s="40"/>
      <c r="F928" s="40"/>
    </row>
    <row r="929" ht="15.75" customHeight="1">
      <c r="A929" s="40"/>
      <c r="B929" s="40"/>
      <c r="C929" s="40"/>
      <c r="D929" s="40"/>
      <c r="E929" s="40"/>
      <c r="F929" s="40"/>
    </row>
    <row r="930" ht="15.75" customHeight="1">
      <c r="A930" s="40"/>
      <c r="B930" s="40"/>
      <c r="C930" s="40"/>
      <c r="D930" s="40"/>
      <c r="E930" s="40"/>
      <c r="F930" s="40"/>
    </row>
    <row r="931" ht="15.75" customHeight="1">
      <c r="A931" s="40"/>
      <c r="B931" s="40"/>
      <c r="C931" s="40"/>
      <c r="D931" s="40"/>
      <c r="E931" s="40"/>
      <c r="F931" s="40"/>
    </row>
    <row r="932" ht="15.75" customHeight="1">
      <c r="A932" s="40"/>
      <c r="B932" s="40"/>
      <c r="C932" s="40"/>
      <c r="D932" s="40"/>
      <c r="E932" s="40"/>
      <c r="F932" s="40"/>
    </row>
    <row r="933" ht="15.75" customHeight="1">
      <c r="A933" s="40"/>
      <c r="B933" s="40"/>
      <c r="C933" s="40"/>
      <c r="D933" s="40"/>
      <c r="E933" s="40"/>
      <c r="F933" s="40"/>
    </row>
    <row r="934" ht="15.75" customHeight="1">
      <c r="A934" s="40"/>
      <c r="B934" s="40"/>
      <c r="C934" s="40"/>
      <c r="D934" s="40"/>
      <c r="E934" s="40"/>
      <c r="F934" s="40"/>
    </row>
    <row r="935" ht="15.75" customHeight="1">
      <c r="A935" s="40"/>
      <c r="B935" s="40"/>
      <c r="C935" s="40"/>
      <c r="D935" s="40"/>
      <c r="E935" s="40"/>
      <c r="F935" s="40"/>
    </row>
    <row r="936" ht="15.75" customHeight="1">
      <c r="A936" s="40"/>
      <c r="B936" s="40"/>
      <c r="C936" s="40"/>
      <c r="D936" s="40"/>
      <c r="E936" s="40"/>
      <c r="F936" s="40"/>
    </row>
    <row r="937" ht="15.75" customHeight="1">
      <c r="A937" s="40"/>
      <c r="B937" s="40"/>
      <c r="C937" s="40"/>
      <c r="D937" s="40"/>
      <c r="E937" s="40"/>
      <c r="F937" s="40"/>
    </row>
    <row r="938" ht="15.75" customHeight="1">
      <c r="A938" s="40"/>
      <c r="B938" s="40"/>
      <c r="C938" s="40"/>
      <c r="D938" s="40"/>
      <c r="E938" s="40"/>
      <c r="F938" s="40"/>
    </row>
    <row r="939" ht="15.75" customHeight="1">
      <c r="A939" s="40"/>
      <c r="B939" s="40"/>
      <c r="C939" s="40"/>
      <c r="D939" s="40"/>
      <c r="E939" s="40"/>
      <c r="F939" s="40"/>
    </row>
    <row r="940" ht="15.75" customHeight="1">
      <c r="A940" s="40"/>
      <c r="B940" s="40"/>
      <c r="C940" s="40"/>
      <c r="D940" s="40"/>
      <c r="E940" s="40"/>
      <c r="F940" s="40"/>
    </row>
    <row r="941" ht="15.75" customHeight="1">
      <c r="A941" s="40"/>
      <c r="B941" s="40"/>
      <c r="C941" s="40"/>
      <c r="D941" s="40"/>
      <c r="E941" s="40"/>
      <c r="F941" s="40"/>
    </row>
    <row r="942" ht="15.75" customHeight="1">
      <c r="A942" s="40"/>
      <c r="B942" s="40"/>
      <c r="C942" s="40"/>
      <c r="D942" s="40"/>
      <c r="E942" s="40"/>
      <c r="F942" s="40"/>
    </row>
    <row r="943" ht="15.75" customHeight="1">
      <c r="A943" s="40"/>
      <c r="B943" s="40"/>
      <c r="C943" s="40"/>
      <c r="D943" s="40"/>
      <c r="E943" s="40"/>
      <c r="F943" s="40"/>
    </row>
    <row r="944" ht="15.75" customHeight="1">
      <c r="A944" s="40"/>
      <c r="B944" s="40"/>
      <c r="C944" s="40"/>
      <c r="D944" s="40"/>
      <c r="E944" s="40"/>
      <c r="F944" s="40"/>
    </row>
    <row r="945" ht="15.75" customHeight="1">
      <c r="A945" s="40"/>
      <c r="B945" s="40"/>
      <c r="C945" s="40"/>
      <c r="D945" s="40"/>
      <c r="E945" s="40"/>
      <c r="F945" s="40"/>
    </row>
    <row r="946" ht="15.75" customHeight="1">
      <c r="A946" s="40"/>
      <c r="B946" s="40"/>
      <c r="C946" s="40"/>
      <c r="D946" s="40"/>
      <c r="E946" s="40"/>
      <c r="F946" s="40"/>
    </row>
    <row r="947" ht="15.75" customHeight="1">
      <c r="A947" s="40"/>
      <c r="B947" s="40"/>
      <c r="C947" s="40"/>
      <c r="D947" s="40"/>
      <c r="E947" s="40"/>
      <c r="F947" s="40"/>
    </row>
    <row r="948" ht="15.75" customHeight="1">
      <c r="A948" s="40"/>
      <c r="B948" s="40"/>
      <c r="C948" s="40"/>
      <c r="D948" s="40"/>
      <c r="E948" s="40"/>
      <c r="F948" s="40"/>
    </row>
    <row r="949" ht="15.75" customHeight="1">
      <c r="A949" s="40"/>
      <c r="B949" s="40"/>
      <c r="C949" s="40"/>
      <c r="D949" s="40"/>
      <c r="E949" s="40"/>
      <c r="F949" s="40"/>
    </row>
    <row r="950" ht="15.75" customHeight="1">
      <c r="A950" s="40"/>
      <c r="B950" s="40"/>
      <c r="C950" s="40"/>
      <c r="D950" s="40"/>
      <c r="E950" s="40"/>
      <c r="F950" s="40"/>
    </row>
    <row r="951" ht="15.75" customHeight="1">
      <c r="A951" s="40"/>
      <c r="B951" s="40"/>
      <c r="C951" s="40"/>
      <c r="D951" s="40"/>
      <c r="E951" s="40"/>
      <c r="F951" s="40"/>
    </row>
    <row r="952" ht="15.75" customHeight="1">
      <c r="A952" s="40"/>
      <c r="B952" s="40"/>
      <c r="C952" s="40"/>
      <c r="D952" s="40"/>
      <c r="E952" s="40"/>
      <c r="F952" s="40"/>
    </row>
    <row r="953" ht="15.75" customHeight="1">
      <c r="A953" s="40"/>
      <c r="B953" s="40"/>
      <c r="C953" s="40"/>
      <c r="D953" s="40"/>
      <c r="E953" s="40"/>
      <c r="F953" s="40"/>
    </row>
    <row r="954" ht="15.75" customHeight="1">
      <c r="A954" s="40"/>
      <c r="B954" s="40"/>
      <c r="C954" s="40"/>
      <c r="D954" s="40"/>
      <c r="E954" s="40"/>
      <c r="F954" s="40"/>
    </row>
    <row r="955" ht="15.75" customHeight="1">
      <c r="A955" s="40"/>
      <c r="B955" s="40"/>
      <c r="C955" s="40"/>
      <c r="D955" s="40"/>
      <c r="E955" s="40"/>
      <c r="F955" s="40"/>
    </row>
    <row r="956" ht="15.75" customHeight="1">
      <c r="A956" s="40"/>
      <c r="B956" s="40"/>
      <c r="C956" s="40"/>
      <c r="D956" s="40"/>
      <c r="E956" s="40"/>
      <c r="F956" s="40"/>
    </row>
    <row r="957" ht="15.75" customHeight="1">
      <c r="A957" s="40"/>
      <c r="B957" s="40"/>
      <c r="C957" s="40"/>
      <c r="D957" s="40"/>
      <c r="E957" s="40"/>
      <c r="F957" s="40"/>
    </row>
    <row r="958" ht="15.75" customHeight="1">
      <c r="A958" s="40"/>
      <c r="B958" s="40"/>
      <c r="C958" s="40"/>
      <c r="D958" s="40"/>
      <c r="E958" s="40"/>
      <c r="F958" s="40"/>
    </row>
    <row r="959" ht="15.75" customHeight="1">
      <c r="A959" s="40"/>
      <c r="B959" s="40"/>
      <c r="C959" s="40"/>
      <c r="D959" s="40"/>
      <c r="E959" s="40"/>
      <c r="F959" s="40"/>
    </row>
    <row r="960" ht="15.75" customHeight="1">
      <c r="A960" s="40"/>
      <c r="B960" s="40"/>
      <c r="C960" s="40"/>
      <c r="D960" s="40"/>
      <c r="E960" s="40"/>
      <c r="F960" s="40"/>
    </row>
    <row r="961" ht="15.75" customHeight="1">
      <c r="A961" s="40"/>
      <c r="B961" s="40"/>
      <c r="C961" s="40"/>
      <c r="D961" s="40"/>
      <c r="E961" s="40"/>
      <c r="F961" s="40"/>
    </row>
    <row r="962" ht="15.75" customHeight="1">
      <c r="A962" s="40"/>
      <c r="B962" s="40"/>
      <c r="C962" s="40"/>
      <c r="D962" s="40"/>
      <c r="E962" s="40"/>
      <c r="F962" s="40"/>
    </row>
    <row r="963" ht="15.75" customHeight="1">
      <c r="A963" s="40"/>
      <c r="B963" s="40"/>
      <c r="C963" s="40"/>
      <c r="D963" s="40"/>
      <c r="E963" s="40"/>
      <c r="F963" s="40"/>
    </row>
    <row r="964" ht="15.75" customHeight="1">
      <c r="A964" s="40"/>
      <c r="B964" s="40"/>
      <c r="C964" s="40"/>
      <c r="D964" s="40"/>
      <c r="E964" s="40"/>
      <c r="F964" s="40"/>
    </row>
    <row r="965" ht="15.75" customHeight="1">
      <c r="A965" s="40"/>
      <c r="B965" s="40"/>
      <c r="C965" s="40"/>
      <c r="D965" s="40"/>
      <c r="E965" s="40"/>
      <c r="F965" s="40"/>
    </row>
    <row r="966" ht="15.75" customHeight="1">
      <c r="A966" s="40"/>
      <c r="B966" s="40"/>
      <c r="C966" s="40"/>
      <c r="D966" s="40"/>
      <c r="E966" s="40"/>
      <c r="F966" s="40"/>
    </row>
    <row r="967" ht="15.75" customHeight="1">
      <c r="A967" s="40"/>
      <c r="B967" s="40"/>
      <c r="C967" s="40"/>
      <c r="D967" s="40"/>
      <c r="E967" s="40"/>
      <c r="F967" s="40"/>
    </row>
    <row r="968" ht="15.75" customHeight="1">
      <c r="A968" s="40"/>
      <c r="B968" s="40"/>
      <c r="C968" s="40"/>
      <c r="D968" s="40"/>
      <c r="E968" s="40"/>
      <c r="F968" s="40"/>
    </row>
    <row r="969" ht="15.75" customHeight="1">
      <c r="A969" s="40"/>
      <c r="B969" s="40"/>
      <c r="C969" s="40"/>
      <c r="D969" s="40"/>
      <c r="E969" s="40"/>
      <c r="F969" s="40"/>
    </row>
    <row r="970" ht="15.75" customHeight="1">
      <c r="A970" s="40"/>
      <c r="B970" s="40"/>
      <c r="C970" s="40"/>
      <c r="D970" s="40"/>
      <c r="E970" s="40"/>
      <c r="F970" s="40"/>
    </row>
    <row r="971" ht="15.75" customHeight="1">
      <c r="A971" s="40"/>
      <c r="B971" s="40"/>
      <c r="C971" s="40"/>
      <c r="D971" s="40"/>
      <c r="E971" s="40"/>
      <c r="F971" s="40"/>
    </row>
    <row r="972" ht="15.75" customHeight="1">
      <c r="A972" s="40"/>
      <c r="B972" s="40"/>
      <c r="C972" s="40"/>
      <c r="D972" s="40"/>
      <c r="E972" s="40"/>
      <c r="F972" s="40"/>
    </row>
    <row r="973" ht="15.75" customHeight="1">
      <c r="A973" s="40"/>
      <c r="B973" s="40"/>
      <c r="C973" s="40"/>
      <c r="D973" s="40"/>
      <c r="E973" s="40"/>
      <c r="F973" s="40"/>
    </row>
    <row r="974" ht="15.75" customHeight="1">
      <c r="A974" s="40"/>
      <c r="B974" s="40"/>
      <c r="C974" s="40"/>
      <c r="D974" s="40"/>
      <c r="E974" s="40"/>
      <c r="F974" s="40"/>
    </row>
    <row r="975" ht="15.75" customHeight="1">
      <c r="A975" s="40"/>
      <c r="B975" s="40"/>
      <c r="C975" s="40"/>
      <c r="D975" s="40"/>
      <c r="E975" s="40"/>
      <c r="F975" s="40"/>
    </row>
    <row r="976" ht="15.75" customHeight="1">
      <c r="A976" s="40"/>
      <c r="B976" s="40"/>
      <c r="C976" s="40"/>
      <c r="D976" s="40"/>
      <c r="E976" s="40"/>
      <c r="F976" s="40"/>
    </row>
    <row r="977" ht="15.75" customHeight="1">
      <c r="A977" s="40"/>
      <c r="B977" s="40"/>
      <c r="C977" s="40"/>
      <c r="D977" s="40"/>
      <c r="E977" s="40"/>
      <c r="F977" s="40"/>
    </row>
    <row r="978" ht="15.75" customHeight="1">
      <c r="A978" s="40"/>
      <c r="B978" s="40"/>
      <c r="C978" s="40"/>
      <c r="D978" s="40"/>
      <c r="E978" s="40"/>
      <c r="F978" s="40"/>
    </row>
    <row r="979" ht="15.75" customHeight="1">
      <c r="A979" s="40"/>
      <c r="B979" s="40"/>
      <c r="C979" s="40"/>
      <c r="D979" s="40"/>
      <c r="E979" s="40"/>
      <c r="F979" s="40"/>
    </row>
    <row r="980" ht="15.75" customHeight="1">
      <c r="A980" s="40"/>
      <c r="B980" s="40"/>
      <c r="C980" s="40"/>
      <c r="D980" s="40"/>
      <c r="E980" s="40"/>
      <c r="F980" s="40"/>
    </row>
    <row r="981" ht="15.75" customHeight="1">
      <c r="A981" s="40"/>
      <c r="B981" s="40"/>
      <c r="C981" s="40"/>
      <c r="D981" s="40"/>
      <c r="E981" s="40"/>
      <c r="F981" s="40"/>
    </row>
    <row r="982" ht="15.75" customHeight="1">
      <c r="A982" s="40"/>
      <c r="B982" s="40"/>
      <c r="C982" s="40"/>
      <c r="D982" s="40"/>
      <c r="E982" s="40"/>
      <c r="F982" s="40"/>
    </row>
    <row r="983" ht="15.75" customHeight="1">
      <c r="A983" s="40"/>
      <c r="B983" s="40"/>
      <c r="C983" s="40"/>
      <c r="D983" s="40"/>
      <c r="E983" s="40"/>
      <c r="F983" s="40"/>
    </row>
    <row r="984" ht="15.75" customHeight="1">
      <c r="A984" s="40"/>
      <c r="B984" s="40"/>
      <c r="C984" s="40"/>
      <c r="D984" s="40"/>
      <c r="E984" s="40"/>
      <c r="F984" s="40"/>
    </row>
    <row r="985" ht="15.75" customHeight="1">
      <c r="A985" s="40"/>
      <c r="B985" s="40"/>
      <c r="C985" s="40"/>
      <c r="D985" s="40"/>
      <c r="E985" s="40"/>
      <c r="F985" s="40"/>
    </row>
    <row r="986" ht="15.75" customHeight="1">
      <c r="A986" s="40"/>
      <c r="B986" s="40"/>
      <c r="C986" s="40"/>
      <c r="D986" s="40"/>
      <c r="E986" s="40"/>
      <c r="F986" s="40"/>
    </row>
    <row r="987" ht="15.75" customHeight="1">
      <c r="A987" s="40"/>
      <c r="B987" s="40"/>
      <c r="C987" s="40"/>
      <c r="D987" s="40"/>
      <c r="E987" s="40"/>
      <c r="F987" s="40"/>
    </row>
    <row r="988" ht="15.75" customHeight="1">
      <c r="A988" s="40"/>
      <c r="B988" s="40"/>
      <c r="C988" s="40"/>
      <c r="D988" s="40"/>
      <c r="E988" s="40"/>
      <c r="F988" s="40"/>
    </row>
    <row r="989" ht="15.75" customHeight="1">
      <c r="A989" s="40"/>
      <c r="B989" s="40"/>
      <c r="C989" s="40"/>
      <c r="D989" s="40"/>
      <c r="E989" s="40"/>
      <c r="F989" s="40"/>
    </row>
    <row r="990" ht="15.75" customHeight="1">
      <c r="A990" s="40"/>
      <c r="B990" s="40"/>
      <c r="C990" s="40"/>
      <c r="D990" s="40"/>
      <c r="E990" s="40"/>
      <c r="F990" s="40"/>
    </row>
    <row r="991" ht="15.75" customHeight="1">
      <c r="A991" s="40"/>
      <c r="B991" s="40"/>
      <c r="C991" s="40"/>
      <c r="D991" s="40"/>
      <c r="E991" s="40"/>
      <c r="F991" s="40"/>
    </row>
    <row r="992" ht="15.75" customHeight="1">
      <c r="A992" s="40"/>
      <c r="B992" s="40"/>
      <c r="C992" s="40"/>
      <c r="D992" s="40"/>
      <c r="E992" s="40"/>
      <c r="F992" s="40"/>
    </row>
    <row r="993" ht="15.75" customHeight="1">
      <c r="A993" s="40"/>
      <c r="B993" s="40"/>
      <c r="C993" s="40"/>
      <c r="D993" s="40"/>
      <c r="E993" s="40"/>
      <c r="F993" s="40"/>
    </row>
    <row r="994" ht="15.75" customHeight="1">
      <c r="A994" s="40"/>
      <c r="B994" s="40"/>
      <c r="C994" s="40"/>
      <c r="D994" s="40"/>
      <c r="E994" s="40"/>
      <c r="F994" s="40"/>
    </row>
    <row r="995" ht="15.75" customHeight="1">
      <c r="A995" s="40"/>
      <c r="B995" s="40"/>
      <c r="C995" s="40"/>
      <c r="D995" s="40"/>
      <c r="E995" s="40"/>
      <c r="F995" s="40"/>
    </row>
    <row r="996" ht="15.75" customHeight="1">
      <c r="A996" s="40"/>
      <c r="B996" s="40"/>
      <c r="C996" s="40"/>
      <c r="D996" s="40"/>
      <c r="E996" s="40"/>
      <c r="F996" s="40"/>
    </row>
    <row r="997" ht="15.75" customHeight="1">
      <c r="A997" s="40"/>
      <c r="B997" s="40"/>
      <c r="C997" s="40"/>
      <c r="D997" s="40"/>
      <c r="E997" s="40"/>
      <c r="F997" s="40"/>
    </row>
    <row r="998" ht="15.75" customHeight="1">
      <c r="A998" s="40"/>
      <c r="B998" s="40"/>
      <c r="C998" s="40"/>
      <c r="D998" s="40"/>
      <c r="E998" s="40"/>
      <c r="F998" s="40"/>
    </row>
    <row r="999" ht="15.75" customHeight="1">
      <c r="A999" s="40"/>
      <c r="B999" s="40"/>
      <c r="C999" s="40"/>
      <c r="D999" s="40"/>
      <c r="E999" s="40"/>
      <c r="F999" s="40"/>
    </row>
    <row r="1000" ht="15.75" customHeight="1">
      <c r="A1000" s="40"/>
      <c r="B1000" s="40"/>
      <c r="C1000" s="40"/>
      <c r="D1000" s="40"/>
      <c r="E1000" s="40"/>
      <c r="F1000" s="40"/>
    </row>
  </sheetData>
  <mergeCells count="7">
    <mergeCell ref="A1:B5"/>
    <mergeCell ref="C1:F1"/>
    <mergeCell ref="D2:F2"/>
    <mergeCell ref="D3:F3"/>
    <mergeCell ref="D4:F4"/>
    <mergeCell ref="D5:F5"/>
    <mergeCell ref="A7:F7"/>
  </mergeCells>
  <conditionalFormatting sqref="A10:F1000">
    <cfRule type="expression" dxfId="0" priority="1">
      <formula>AND(ISODD(ROW()), NOT(ISBLANK($A10)), ISERROR(SEARCH("Total de", $A10)))</formula>
    </cfRule>
  </conditionalFormatting>
  <conditionalFormatting sqref="A10:F1000">
    <cfRule type="expression" dxfId="1" priority="2">
      <formula>$A10="Total de Mão de Obra"</formula>
    </cfRule>
  </conditionalFormatting>
  <printOptions gridLines="1" horizontalCentered="1"/>
  <pageMargins bottom="0.19685039370078738" footer="0.0" header="0.0" left="0.19685039370078738" right="0.19685039370078738" top="0.19685039370078738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1.0" ySplit="10.0" topLeftCell="L11" activePane="bottomRight" state="frozen"/>
      <selection activeCell="L1" sqref="L1" pane="topRight"/>
      <selection activeCell="A11" sqref="A11" pane="bottomLeft"/>
      <selection activeCell="L11" sqref="L11" pane="bottomRight"/>
    </sheetView>
  </sheetViews>
  <sheetFormatPr customHeight="1" defaultColWidth="12.63" defaultRowHeight="15.0"/>
  <cols>
    <col customWidth="1" min="1" max="1" width="19.38"/>
    <col customWidth="1" min="2" max="2" width="33.38"/>
    <col customWidth="1" min="3" max="5" width="12.63"/>
    <col customWidth="1" min="6" max="6" width="15.0"/>
    <col customWidth="1" min="7" max="7" width="13.63"/>
    <col customWidth="1" min="8" max="8" width="15.88"/>
    <col customWidth="1" min="9" max="9" width="17.38"/>
    <col customWidth="1" min="10" max="10" width="15.88"/>
  </cols>
  <sheetData>
    <row r="1" ht="78.0" customHeight="1">
      <c r="A1" s="1"/>
      <c r="C1" s="2" t="s">
        <v>19</v>
      </c>
    </row>
    <row r="2">
      <c r="C2" s="3" t="s">
        <v>1</v>
      </c>
      <c r="D2" s="4" t="s">
        <v>20</v>
      </c>
    </row>
    <row r="3">
      <c r="C3" s="3" t="s">
        <v>2</v>
      </c>
      <c r="D3" s="4" t="s">
        <v>21</v>
      </c>
    </row>
    <row r="4">
      <c r="C4" s="3" t="s">
        <v>3</v>
      </c>
      <c r="D4" s="41">
        <v>46056.0</v>
      </c>
    </row>
    <row r="5">
      <c r="A5" s="6"/>
      <c r="B5" s="6"/>
      <c r="C5" s="7" t="s">
        <v>4</v>
      </c>
      <c r="D5" s="42" t="s">
        <v>22</v>
      </c>
      <c r="E5" s="6"/>
      <c r="F5" s="6"/>
      <c r="G5" s="6"/>
      <c r="H5" s="6"/>
      <c r="I5" s="6"/>
      <c r="J5" s="6"/>
      <c r="K5" s="6"/>
    </row>
    <row r="6" ht="15.75" customHeight="1">
      <c r="A6" s="9"/>
      <c r="B6" s="9"/>
      <c r="C6" s="9"/>
      <c r="D6" s="9"/>
      <c r="E6" s="9"/>
      <c r="F6" s="9"/>
      <c r="G6" s="9"/>
      <c r="H6" s="9"/>
      <c r="I6" s="10"/>
      <c r="J6" s="10"/>
    </row>
    <row r="7">
      <c r="A7" s="25" t="s">
        <v>23</v>
      </c>
    </row>
    <row r="8" ht="15.75" customHeight="1">
      <c r="A8" s="9"/>
      <c r="B8" s="9"/>
      <c r="C8" s="9"/>
      <c r="D8" s="9"/>
      <c r="E8" s="9"/>
      <c r="F8" s="9"/>
      <c r="G8" s="9"/>
      <c r="H8" s="9"/>
      <c r="I8" s="10"/>
      <c r="J8" s="10"/>
    </row>
    <row r="9" ht="15.75" customHeight="1">
      <c r="A9" s="9"/>
      <c r="B9" s="9"/>
      <c r="C9" s="9"/>
      <c r="D9" s="9"/>
      <c r="E9" s="43" t="s">
        <v>24</v>
      </c>
      <c r="G9" s="43" t="s">
        <v>25</v>
      </c>
      <c r="I9" s="44" t="s">
        <v>26</v>
      </c>
    </row>
    <row r="10" ht="27.75" customHeight="1">
      <c r="A10" s="45" t="s">
        <v>10</v>
      </c>
      <c r="B10" s="45" t="s">
        <v>18</v>
      </c>
      <c r="C10" s="45" t="s">
        <v>12</v>
      </c>
      <c r="D10" s="45" t="s">
        <v>13</v>
      </c>
      <c r="E10" s="45" t="s">
        <v>14</v>
      </c>
      <c r="F10" s="46" t="s">
        <v>15</v>
      </c>
      <c r="G10" s="45" t="s">
        <v>14</v>
      </c>
      <c r="H10" s="46" t="s">
        <v>15</v>
      </c>
      <c r="I10" s="46" t="s">
        <v>14</v>
      </c>
      <c r="J10" s="46" t="s">
        <v>15</v>
      </c>
      <c r="K10" s="45" t="s">
        <v>27</v>
      </c>
    </row>
    <row r="11">
      <c r="A11" s="47" t="s">
        <v>28</v>
      </c>
      <c r="B11" s="47" t="s">
        <v>29</v>
      </c>
      <c r="C11" s="48">
        <v>10.0</v>
      </c>
      <c r="D11" s="49" t="s">
        <v>30</v>
      </c>
      <c r="E11" s="50">
        <v>100.0</v>
      </c>
      <c r="F11" s="51">
        <f>E11*C11</f>
        <v>1000</v>
      </c>
      <c r="G11" s="52">
        <v>150.0</v>
      </c>
      <c r="H11" s="53">
        <f> G11*C11</f>
        <v>1500</v>
      </c>
      <c r="I11" s="53">
        <f>E11+G11</f>
        <v>250</v>
      </c>
      <c r="J11" s="53">
        <f>(E11+G11)*C11</f>
        <v>2500</v>
      </c>
      <c r="K11" s="49" t="s">
        <v>31</v>
      </c>
    </row>
    <row r="12" ht="27.0" customHeight="1">
      <c r="A12" s="26" t="s">
        <v>32</v>
      </c>
      <c r="C12" s="54"/>
      <c r="D12" s="55"/>
      <c r="E12" s="56"/>
      <c r="F12" s="57">
        <f t="array" ref="F12">SUM(INDIRECT("F11:F"&amp;ROW()-1))</f>
        <v>1000</v>
      </c>
      <c r="G12" s="56"/>
      <c r="H12" s="57">
        <f t="array" ref="H12">SUM(INDIRECT("H11:H"&amp;ROW()-1))</f>
        <v>1500</v>
      </c>
      <c r="I12" s="57" t="str">
        <f>IF(OR(NOT(ISBLANK(E12)), NOT(ISBLANK(G12))), (E12+G12), "")</f>
        <v/>
      </c>
      <c r="J12" s="57">
        <f t="array" ref="J12">SUM(INDIRECT("J11:J"&amp;ROW()-1))</f>
        <v>2500</v>
      </c>
      <c r="K12" s="58"/>
    </row>
    <row r="13" ht="15.75" customHeight="1">
      <c r="A13" s="59"/>
      <c r="B13" s="59"/>
      <c r="C13" s="59"/>
      <c r="D13" s="59"/>
      <c r="E13" s="59"/>
      <c r="F13" s="59"/>
      <c r="G13" s="59"/>
      <c r="H13" s="60"/>
      <c r="I13" s="60"/>
      <c r="J13" s="60"/>
      <c r="K13" s="60"/>
    </row>
    <row r="14" ht="15.75" customHeight="1">
      <c r="A14" s="61"/>
      <c r="B14" s="61"/>
      <c r="C14" s="61"/>
      <c r="D14" s="61"/>
      <c r="E14" s="61"/>
      <c r="F14" s="61"/>
      <c r="G14" s="61"/>
      <c r="H14" s="60"/>
      <c r="I14" s="60"/>
      <c r="J14" s="60"/>
      <c r="K14" s="60"/>
    </row>
    <row r="15" ht="15.75" customHeight="1">
      <c r="A15" s="59"/>
      <c r="B15" s="59"/>
      <c r="C15" s="59"/>
      <c r="D15" s="59"/>
      <c r="E15" s="59"/>
      <c r="F15" s="59"/>
      <c r="G15" s="59"/>
      <c r="H15" s="60"/>
      <c r="I15" s="60"/>
      <c r="J15" s="60"/>
      <c r="K15" s="60"/>
    </row>
    <row r="16" ht="15.75" customHeight="1">
      <c r="A16" s="61"/>
      <c r="B16" s="61"/>
      <c r="C16" s="61"/>
      <c r="D16" s="61"/>
      <c r="E16" s="61"/>
      <c r="F16" s="61"/>
      <c r="G16" s="61"/>
      <c r="H16" s="60"/>
      <c r="I16" s="60"/>
      <c r="J16" s="60"/>
      <c r="K16" s="60"/>
    </row>
    <row r="17" ht="15.75" customHeight="1">
      <c r="A17" s="59"/>
      <c r="B17" s="59"/>
      <c r="C17" s="59"/>
      <c r="D17" s="59"/>
      <c r="E17" s="59"/>
      <c r="F17" s="59"/>
      <c r="G17" s="59"/>
      <c r="H17" s="60"/>
      <c r="I17" s="60"/>
      <c r="J17" s="60"/>
      <c r="K17" s="60"/>
    </row>
    <row r="18" ht="15.75" customHeight="1">
      <c r="A18" s="61"/>
      <c r="B18" s="61"/>
      <c r="C18" s="61"/>
      <c r="D18" s="61"/>
      <c r="E18" s="61"/>
      <c r="F18" s="61"/>
      <c r="G18" s="61"/>
      <c r="H18" s="60"/>
      <c r="I18" s="60"/>
      <c r="J18" s="60"/>
      <c r="K18" s="60"/>
    </row>
    <row r="19" ht="15.75" customHeight="1">
      <c r="A19" s="59"/>
      <c r="B19" s="59"/>
      <c r="C19" s="59"/>
      <c r="D19" s="59"/>
      <c r="E19" s="59"/>
      <c r="F19" s="59"/>
      <c r="G19" s="59"/>
      <c r="H19" s="60"/>
      <c r="I19" s="60"/>
      <c r="J19" s="60"/>
      <c r="K19" s="60"/>
    </row>
    <row r="20" ht="15.75" customHeight="1">
      <c r="A20" s="61"/>
      <c r="B20" s="61"/>
      <c r="C20" s="61"/>
      <c r="D20" s="61"/>
      <c r="E20" s="61"/>
      <c r="F20" s="61"/>
      <c r="G20" s="61"/>
      <c r="H20" s="60"/>
      <c r="I20" s="60"/>
      <c r="J20" s="60"/>
      <c r="K20" s="60"/>
    </row>
    <row r="21" ht="15.75" customHeight="1">
      <c r="A21" s="59"/>
      <c r="B21" s="59"/>
      <c r="C21" s="59"/>
      <c r="D21" s="59"/>
      <c r="E21" s="59"/>
      <c r="F21" s="59"/>
      <c r="G21" s="59"/>
      <c r="H21" s="60"/>
      <c r="I21" s="60"/>
      <c r="J21" s="60"/>
      <c r="K21" s="60"/>
    </row>
    <row r="22" ht="15.75" customHeight="1">
      <c r="A22" s="61"/>
      <c r="B22" s="61"/>
      <c r="C22" s="61"/>
      <c r="D22" s="61"/>
      <c r="E22" s="61"/>
      <c r="F22" s="61"/>
      <c r="G22" s="61"/>
      <c r="H22" s="60"/>
      <c r="I22" s="60"/>
      <c r="J22" s="60"/>
      <c r="K22" s="60"/>
    </row>
    <row r="23" ht="15.75" customHeight="1">
      <c r="A23" s="59"/>
      <c r="B23" s="59"/>
      <c r="C23" s="59"/>
      <c r="D23" s="59"/>
      <c r="E23" s="59"/>
      <c r="F23" s="59"/>
      <c r="G23" s="59"/>
      <c r="H23" s="60"/>
      <c r="I23" s="60"/>
      <c r="J23" s="60"/>
      <c r="K23" s="60"/>
    </row>
    <row r="24" ht="15.75" customHeight="1">
      <c r="A24" s="61"/>
      <c r="B24" s="61"/>
      <c r="C24" s="61"/>
      <c r="D24" s="61"/>
      <c r="E24" s="61"/>
      <c r="F24" s="61"/>
      <c r="G24" s="61"/>
      <c r="H24" s="60"/>
      <c r="I24" s="60"/>
      <c r="J24" s="60"/>
      <c r="K24" s="60"/>
    </row>
    <row r="25" ht="15.75" customHeight="1">
      <c r="A25" s="59"/>
      <c r="B25" s="59"/>
      <c r="C25" s="59"/>
      <c r="D25" s="59"/>
      <c r="E25" s="59"/>
      <c r="F25" s="59"/>
      <c r="G25" s="59"/>
      <c r="H25" s="60"/>
      <c r="I25" s="60"/>
      <c r="J25" s="60"/>
      <c r="K25" s="60"/>
    </row>
    <row r="26" ht="15.75" customHeight="1">
      <c r="A26" s="61"/>
      <c r="B26" s="61"/>
      <c r="C26" s="61"/>
      <c r="D26" s="61"/>
      <c r="E26" s="61"/>
      <c r="F26" s="61"/>
      <c r="G26" s="61"/>
      <c r="H26" s="60"/>
      <c r="I26" s="60"/>
      <c r="J26" s="60"/>
      <c r="K26" s="60"/>
    </row>
    <row r="27" ht="15.75" customHeight="1">
      <c r="A27" s="59"/>
      <c r="B27" s="59"/>
      <c r="C27" s="59"/>
      <c r="D27" s="59"/>
      <c r="E27" s="59"/>
      <c r="F27" s="59"/>
      <c r="G27" s="59"/>
      <c r="H27" s="60"/>
      <c r="I27" s="60"/>
      <c r="J27" s="60"/>
      <c r="K27" s="60"/>
    </row>
    <row r="28" ht="15.75" customHeight="1">
      <c r="A28" s="61"/>
      <c r="B28" s="61"/>
      <c r="C28" s="61"/>
      <c r="D28" s="61"/>
      <c r="E28" s="61"/>
      <c r="F28" s="61"/>
      <c r="G28" s="61"/>
      <c r="H28" s="60"/>
      <c r="I28" s="60"/>
      <c r="J28" s="60"/>
      <c r="K28" s="60"/>
    </row>
    <row r="29" ht="15.75" customHeight="1">
      <c r="A29" s="59"/>
      <c r="B29" s="59"/>
      <c r="C29" s="59"/>
      <c r="D29" s="59"/>
      <c r="E29" s="59"/>
      <c r="F29" s="59"/>
      <c r="G29" s="59"/>
      <c r="H29" s="60"/>
      <c r="I29" s="60"/>
      <c r="J29" s="60"/>
      <c r="K29" s="60"/>
    </row>
    <row r="30" ht="15.75" customHeight="1">
      <c r="A30" s="61"/>
      <c r="B30" s="61"/>
      <c r="C30" s="61"/>
      <c r="D30" s="61"/>
      <c r="E30" s="61"/>
      <c r="F30" s="61"/>
      <c r="G30" s="61"/>
      <c r="H30" s="60"/>
      <c r="I30" s="60"/>
      <c r="J30" s="60"/>
      <c r="K30" s="60"/>
    </row>
    <row r="31" ht="15.75" customHeight="1">
      <c r="A31" s="59"/>
      <c r="B31" s="59"/>
      <c r="C31" s="59"/>
      <c r="D31" s="59"/>
      <c r="E31" s="59"/>
      <c r="F31" s="59"/>
      <c r="G31" s="59"/>
      <c r="H31" s="60"/>
      <c r="I31" s="60"/>
      <c r="J31" s="60"/>
      <c r="K31" s="60"/>
    </row>
    <row r="32" ht="15.75" customHeight="1">
      <c r="A32" s="61"/>
      <c r="B32" s="61"/>
      <c r="C32" s="61"/>
      <c r="D32" s="61"/>
      <c r="E32" s="61"/>
      <c r="F32" s="61"/>
      <c r="G32" s="61"/>
      <c r="H32" s="60"/>
      <c r="I32" s="60"/>
      <c r="J32" s="60"/>
      <c r="K32" s="60"/>
    </row>
    <row r="33" ht="15.75" customHeight="1">
      <c r="A33" s="59"/>
      <c r="B33" s="59"/>
      <c r="C33" s="59"/>
      <c r="D33" s="59"/>
      <c r="E33" s="59"/>
      <c r="F33" s="59"/>
      <c r="G33" s="59"/>
      <c r="H33" s="60"/>
      <c r="I33" s="60"/>
      <c r="J33" s="60"/>
      <c r="K33" s="60"/>
    </row>
    <row r="34" ht="15.75" customHeight="1">
      <c r="A34" s="61"/>
      <c r="B34" s="61"/>
      <c r="C34" s="61"/>
      <c r="D34" s="61"/>
      <c r="E34" s="61"/>
      <c r="F34" s="61"/>
      <c r="G34" s="61"/>
      <c r="H34" s="60"/>
      <c r="I34" s="60"/>
      <c r="J34" s="60"/>
      <c r="K34" s="60"/>
    </row>
    <row r="35" ht="15.75" customHeight="1">
      <c r="A35" s="59"/>
      <c r="B35" s="59"/>
      <c r="C35" s="59"/>
      <c r="D35" s="59"/>
      <c r="E35" s="59"/>
      <c r="F35" s="59"/>
      <c r="G35" s="59"/>
      <c r="H35" s="60"/>
      <c r="I35" s="60"/>
      <c r="J35" s="60"/>
      <c r="K35" s="60"/>
    </row>
    <row r="36" ht="15.75" customHeight="1">
      <c r="A36" s="61"/>
      <c r="B36" s="61"/>
      <c r="C36" s="61"/>
      <c r="D36" s="61"/>
      <c r="E36" s="61"/>
      <c r="F36" s="61"/>
      <c r="G36" s="61"/>
      <c r="H36" s="60"/>
      <c r="I36" s="60"/>
      <c r="J36" s="60"/>
      <c r="K36" s="60"/>
    </row>
    <row r="37" ht="15.75" customHeight="1">
      <c r="A37" s="59"/>
      <c r="B37" s="59"/>
      <c r="C37" s="59"/>
      <c r="D37" s="59"/>
      <c r="E37" s="59"/>
      <c r="F37" s="59"/>
      <c r="G37" s="59"/>
      <c r="H37" s="60"/>
      <c r="I37" s="60"/>
      <c r="J37" s="60"/>
      <c r="K37" s="60"/>
    </row>
    <row r="38" ht="15.75" customHeight="1">
      <c r="A38" s="61"/>
      <c r="B38" s="61"/>
      <c r="C38" s="61"/>
      <c r="D38" s="61"/>
      <c r="E38" s="61"/>
      <c r="F38" s="61"/>
      <c r="G38" s="61"/>
      <c r="H38" s="60"/>
      <c r="I38" s="60"/>
      <c r="J38" s="60"/>
      <c r="K38" s="60"/>
    </row>
    <row r="39" ht="15.75" customHeight="1">
      <c r="A39" s="59"/>
      <c r="B39" s="59"/>
      <c r="C39" s="59"/>
      <c r="D39" s="59"/>
      <c r="E39" s="59"/>
      <c r="F39" s="59"/>
      <c r="G39" s="59"/>
      <c r="H39" s="60"/>
      <c r="I39" s="60"/>
      <c r="J39" s="60"/>
      <c r="K39" s="60"/>
    </row>
    <row r="40" ht="15.75" customHeight="1">
      <c r="A40" s="61"/>
      <c r="B40" s="61"/>
      <c r="C40" s="61"/>
      <c r="D40" s="61"/>
      <c r="E40" s="61"/>
      <c r="F40" s="61"/>
      <c r="G40" s="61"/>
      <c r="H40" s="60"/>
      <c r="I40" s="60"/>
      <c r="J40" s="60"/>
      <c r="K40" s="60"/>
    </row>
    <row r="41" ht="15.75" customHeight="1">
      <c r="A41" s="59"/>
      <c r="B41" s="59"/>
      <c r="C41" s="59"/>
      <c r="D41" s="59"/>
      <c r="E41" s="59"/>
      <c r="F41" s="59"/>
      <c r="G41" s="59"/>
      <c r="H41" s="60"/>
      <c r="I41" s="60"/>
      <c r="J41" s="60"/>
      <c r="K41" s="60"/>
    </row>
    <row r="42" ht="15.75" customHeight="1">
      <c r="A42" s="61"/>
      <c r="B42" s="61"/>
      <c r="C42" s="61"/>
      <c r="D42" s="61"/>
      <c r="E42" s="61"/>
      <c r="F42" s="61"/>
      <c r="G42" s="61"/>
      <c r="H42" s="60"/>
      <c r="I42" s="60"/>
      <c r="J42" s="60"/>
      <c r="K42" s="60"/>
    </row>
    <row r="43" ht="15.75" customHeight="1">
      <c r="A43" s="59"/>
      <c r="B43" s="59"/>
      <c r="C43" s="59"/>
      <c r="D43" s="59"/>
      <c r="E43" s="59"/>
      <c r="F43" s="59"/>
      <c r="G43" s="59"/>
      <c r="H43" s="60"/>
      <c r="I43" s="60"/>
      <c r="J43" s="60"/>
      <c r="K43" s="60"/>
    </row>
    <row r="44" ht="15.75" customHeight="1">
      <c r="A44" s="61"/>
      <c r="B44" s="61"/>
      <c r="C44" s="61"/>
      <c r="D44" s="61"/>
      <c r="E44" s="61"/>
      <c r="F44" s="61"/>
      <c r="G44" s="61"/>
      <c r="H44" s="60"/>
      <c r="I44" s="60"/>
      <c r="J44" s="60"/>
      <c r="K44" s="60"/>
    </row>
    <row r="45" ht="15.75" customHeight="1">
      <c r="A45" s="59"/>
      <c r="B45" s="59"/>
      <c r="C45" s="59"/>
      <c r="D45" s="59"/>
      <c r="E45" s="59"/>
      <c r="F45" s="59"/>
      <c r="G45" s="59"/>
      <c r="H45" s="60"/>
      <c r="I45" s="60"/>
      <c r="J45" s="60"/>
      <c r="K45" s="60"/>
    </row>
    <row r="46" ht="15.75" customHeight="1">
      <c r="A46" s="61"/>
      <c r="B46" s="61"/>
      <c r="C46" s="61"/>
      <c r="D46" s="61"/>
      <c r="E46" s="61"/>
      <c r="F46" s="61"/>
      <c r="G46" s="61"/>
      <c r="H46" s="60"/>
      <c r="I46" s="60"/>
      <c r="J46" s="60"/>
      <c r="K46" s="60"/>
    </row>
    <row r="47" ht="15.75" customHeight="1">
      <c r="A47" s="59"/>
      <c r="B47" s="59"/>
      <c r="C47" s="59"/>
      <c r="D47" s="59"/>
      <c r="E47" s="59"/>
      <c r="F47" s="59"/>
      <c r="G47" s="59"/>
      <c r="H47" s="60"/>
      <c r="I47" s="60"/>
      <c r="J47" s="60"/>
      <c r="K47" s="60"/>
    </row>
    <row r="48" ht="15.75" customHeight="1">
      <c r="A48" s="61"/>
      <c r="B48" s="61"/>
      <c r="C48" s="61"/>
      <c r="D48" s="61"/>
      <c r="E48" s="61"/>
      <c r="F48" s="61"/>
      <c r="G48" s="61"/>
      <c r="H48" s="60"/>
      <c r="I48" s="60"/>
      <c r="J48" s="60"/>
      <c r="K48" s="60"/>
    </row>
    <row r="49" ht="15.75" customHeight="1">
      <c r="A49" s="59"/>
      <c r="B49" s="59"/>
      <c r="C49" s="59"/>
      <c r="D49" s="59"/>
      <c r="E49" s="59"/>
      <c r="F49" s="59"/>
      <c r="G49" s="59"/>
      <c r="H49" s="60"/>
      <c r="I49" s="60"/>
      <c r="J49" s="60"/>
      <c r="K49" s="60"/>
    </row>
    <row r="50" ht="15.75" customHeight="1">
      <c r="A50" s="61"/>
      <c r="B50" s="61"/>
      <c r="C50" s="61"/>
      <c r="D50" s="61"/>
      <c r="E50" s="61"/>
      <c r="F50" s="61"/>
      <c r="G50" s="61"/>
      <c r="H50" s="60"/>
      <c r="I50" s="60"/>
      <c r="J50" s="60"/>
      <c r="K50" s="60"/>
    </row>
    <row r="51" ht="15.75" customHeight="1">
      <c r="A51" s="59"/>
      <c r="B51" s="59"/>
      <c r="C51" s="59"/>
      <c r="D51" s="59"/>
      <c r="E51" s="59"/>
      <c r="F51" s="59"/>
      <c r="G51" s="59"/>
      <c r="H51" s="60"/>
      <c r="I51" s="60"/>
      <c r="J51" s="60"/>
      <c r="K51" s="60"/>
    </row>
    <row r="52" ht="15.75" customHeight="1">
      <c r="A52" s="61"/>
      <c r="B52" s="61"/>
      <c r="C52" s="61"/>
      <c r="D52" s="61"/>
      <c r="E52" s="61"/>
      <c r="F52" s="61"/>
      <c r="G52" s="61"/>
      <c r="H52" s="60"/>
      <c r="I52" s="60"/>
      <c r="J52" s="60"/>
      <c r="K52" s="60"/>
    </row>
    <row r="53" ht="15.75" customHeight="1">
      <c r="A53" s="59"/>
      <c r="B53" s="59"/>
      <c r="C53" s="59"/>
      <c r="D53" s="59"/>
      <c r="E53" s="59"/>
      <c r="F53" s="59"/>
      <c r="G53" s="59"/>
      <c r="H53" s="60"/>
      <c r="I53" s="60"/>
      <c r="J53" s="60"/>
      <c r="K53" s="60"/>
    </row>
    <row r="54" ht="15.75" customHeight="1">
      <c r="A54" s="61"/>
      <c r="B54" s="61"/>
      <c r="C54" s="61"/>
      <c r="D54" s="61"/>
      <c r="E54" s="61"/>
      <c r="F54" s="61"/>
      <c r="G54" s="61"/>
      <c r="H54" s="60"/>
      <c r="I54" s="60"/>
      <c r="J54" s="60"/>
      <c r="K54" s="60"/>
    </row>
    <row r="55" ht="15.75" customHeight="1">
      <c r="A55" s="59"/>
      <c r="B55" s="59"/>
      <c r="C55" s="59"/>
      <c r="D55" s="59"/>
      <c r="E55" s="59"/>
      <c r="F55" s="59"/>
      <c r="G55" s="59"/>
      <c r="H55" s="60"/>
      <c r="I55" s="60"/>
      <c r="J55" s="60"/>
      <c r="K55" s="60"/>
    </row>
    <row r="56" ht="15.75" customHeight="1">
      <c r="A56" s="61"/>
      <c r="B56" s="61"/>
      <c r="C56" s="61"/>
      <c r="D56" s="61"/>
      <c r="E56" s="61"/>
      <c r="F56" s="61"/>
      <c r="G56" s="61"/>
      <c r="H56" s="60"/>
      <c r="I56" s="60"/>
      <c r="J56" s="60"/>
      <c r="K56" s="60"/>
    </row>
    <row r="57" ht="15.75" customHeight="1">
      <c r="A57" s="59"/>
      <c r="B57" s="59"/>
      <c r="C57" s="59"/>
      <c r="D57" s="59"/>
      <c r="E57" s="59"/>
      <c r="F57" s="59"/>
      <c r="G57" s="59"/>
      <c r="H57" s="60"/>
      <c r="I57" s="60"/>
      <c r="J57" s="60"/>
      <c r="K57" s="60"/>
    </row>
    <row r="58" ht="15.75" customHeight="1">
      <c r="A58" s="61"/>
      <c r="B58" s="61"/>
      <c r="C58" s="61"/>
      <c r="D58" s="61"/>
      <c r="E58" s="61"/>
      <c r="F58" s="61"/>
      <c r="G58" s="61"/>
      <c r="H58" s="60"/>
      <c r="I58" s="60"/>
      <c r="J58" s="60"/>
      <c r="K58" s="60"/>
    </row>
    <row r="59" ht="15.75" customHeight="1">
      <c r="A59" s="59"/>
      <c r="B59" s="59"/>
      <c r="C59" s="59"/>
      <c r="D59" s="59"/>
      <c r="E59" s="59"/>
      <c r="F59" s="59"/>
      <c r="G59" s="59"/>
      <c r="H59" s="60"/>
      <c r="I59" s="60"/>
      <c r="J59" s="60"/>
      <c r="K59" s="60"/>
    </row>
    <row r="60" ht="15.75" customHeight="1">
      <c r="A60" s="61"/>
      <c r="B60" s="61"/>
      <c r="C60" s="61"/>
      <c r="D60" s="61"/>
      <c r="E60" s="61"/>
      <c r="F60" s="61"/>
      <c r="G60" s="61"/>
      <c r="H60" s="60"/>
      <c r="I60" s="60"/>
      <c r="J60" s="60"/>
      <c r="K60" s="60"/>
    </row>
    <row r="61" ht="15.75" customHeight="1">
      <c r="A61" s="59"/>
      <c r="B61" s="59"/>
      <c r="C61" s="59"/>
      <c r="D61" s="59"/>
      <c r="E61" s="59"/>
      <c r="F61" s="59"/>
      <c r="G61" s="59"/>
      <c r="H61" s="60"/>
      <c r="I61" s="60"/>
      <c r="J61" s="60"/>
      <c r="K61" s="60"/>
    </row>
    <row r="62" ht="15.75" customHeight="1">
      <c r="A62" s="61"/>
      <c r="B62" s="61"/>
      <c r="C62" s="61"/>
      <c r="D62" s="61"/>
      <c r="E62" s="61"/>
      <c r="F62" s="61"/>
      <c r="G62" s="61"/>
      <c r="H62" s="60"/>
      <c r="I62" s="60"/>
      <c r="J62" s="60"/>
      <c r="K62" s="60"/>
    </row>
    <row r="63" ht="15.75" customHeight="1">
      <c r="A63" s="59"/>
      <c r="B63" s="59"/>
      <c r="C63" s="59"/>
      <c r="D63" s="59"/>
      <c r="E63" s="59"/>
      <c r="F63" s="59"/>
      <c r="G63" s="59"/>
      <c r="H63" s="60"/>
      <c r="I63" s="60"/>
      <c r="J63" s="60"/>
      <c r="K63" s="60"/>
    </row>
    <row r="64" ht="15.75" customHeight="1">
      <c r="A64" s="61"/>
      <c r="B64" s="61"/>
      <c r="C64" s="61"/>
      <c r="D64" s="61"/>
      <c r="E64" s="61"/>
      <c r="F64" s="61"/>
      <c r="G64" s="61"/>
      <c r="H64" s="60"/>
      <c r="I64" s="60"/>
      <c r="J64" s="60"/>
      <c r="K64" s="60"/>
    </row>
    <row r="65" ht="15.75" customHeight="1">
      <c r="A65" s="59"/>
      <c r="B65" s="59"/>
      <c r="C65" s="59"/>
      <c r="D65" s="59"/>
      <c r="E65" s="59"/>
      <c r="F65" s="59"/>
      <c r="G65" s="59"/>
      <c r="H65" s="60"/>
      <c r="I65" s="60"/>
      <c r="J65" s="60"/>
      <c r="K65" s="60"/>
    </row>
    <row r="66" ht="15.75" customHeight="1">
      <c r="A66" s="61"/>
      <c r="B66" s="61"/>
      <c r="C66" s="61"/>
      <c r="D66" s="61"/>
      <c r="E66" s="61"/>
      <c r="F66" s="61"/>
      <c r="G66" s="61"/>
      <c r="H66" s="60"/>
      <c r="I66" s="60"/>
      <c r="J66" s="60"/>
      <c r="K66" s="60"/>
    </row>
    <row r="67" ht="15.75" customHeight="1">
      <c r="A67" s="59"/>
      <c r="B67" s="59"/>
      <c r="C67" s="59"/>
      <c r="D67" s="59"/>
      <c r="E67" s="59"/>
      <c r="F67" s="59"/>
      <c r="G67" s="59"/>
      <c r="H67" s="60"/>
      <c r="I67" s="60"/>
      <c r="J67" s="60"/>
      <c r="K67" s="60"/>
    </row>
    <row r="68" ht="15.75" customHeight="1">
      <c r="A68" s="61"/>
      <c r="B68" s="61"/>
      <c r="C68" s="61"/>
      <c r="D68" s="61"/>
      <c r="E68" s="61"/>
      <c r="F68" s="61"/>
      <c r="G68" s="61"/>
      <c r="H68" s="60"/>
      <c r="I68" s="60"/>
      <c r="J68" s="60"/>
      <c r="K68" s="60"/>
    </row>
    <row r="69" ht="15.75" customHeight="1">
      <c r="A69" s="59"/>
      <c r="B69" s="59"/>
      <c r="C69" s="59"/>
      <c r="D69" s="59"/>
      <c r="E69" s="59"/>
      <c r="F69" s="59"/>
      <c r="G69" s="59"/>
      <c r="H69" s="60"/>
      <c r="I69" s="60"/>
      <c r="J69" s="60"/>
      <c r="K69" s="60"/>
    </row>
    <row r="70" ht="15.75" customHeight="1">
      <c r="A70" s="61"/>
      <c r="B70" s="61"/>
      <c r="C70" s="61"/>
      <c r="D70" s="61"/>
      <c r="E70" s="61"/>
      <c r="F70" s="61"/>
      <c r="G70" s="61"/>
      <c r="H70" s="60"/>
      <c r="I70" s="60"/>
      <c r="J70" s="60"/>
      <c r="K70" s="60"/>
    </row>
    <row r="71" ht="15.75" customHeight="1">
      <c r="A71" s="59"/>
      <c r="B71" s="59"/>
      <c r="C71" s="59"/>
      <c r="D71" s="59"/>
      <c r="E71" s="59"/>
      <c r="F71" s="59"/>
      <c r="G71" s="59"/>
      <c r="H71" s="60"/>
      <c r="I71" s="60"/>
      <c r="J71" s="60"/>
      <c r="K71" s="60"/>
    </row>
    <row r="72" ht="15.75" customHeight="1">
      <c r="A72" s="61"/>
      <c r="B72" s="61"/>
      <c r="C72" s="61"/>
      <c r="D72" s="61"/>
      <c r="E72" s="61"/>
      <c r="F72" s="61"/>
      <c r="G72" s="61"/>
      <c r="H72" s="60"/>
      <c r="I72" s="60"/>
      <c r="J72" s="60"/>
      <c r="K72" s="60"/>
    </row>
    <row r="73" ht="15.75" customHeight="1">
      <c r="A73" s="59"/>
      <c r="B73" s="59"/>
      <c r="C73" s="59"/>
      <c r="D73" s="59"/>
      <c r="E73" s="59"/>
      <c r="F73" s="59"/>
      <c r="G73" s="59"/>
      <c r="H73" s="60"/>
      <c r="I73" s="60"/>
      <c r="J73" s="60"/>
      <c r="K73" s="60"/>
    </row>
    <row r="74" ht="15.75" customHeight="1">
      <c r="A74" s="61"/>
      <c r="B74" s="61"/>
      <c r="C74" s="61"/>
      <c r="D74" s="61"/>
      <c r="E74" s="61"/>
      <c r="F74" s="61"/>
      <c r="G74" s="61"/>
      <c r="H74" s="60"/>
      <c r="I74" s="60"/>
      <c r="J74" s="60"/>
      <c r="K74" s="60"/>
    </row>
    <row r="75" ht="15.75" customHeight="1">
      <c r="A75" s="59"/>
      <c r="B75" s="59"/>
      <c r="C75" s="59"/>
      <c r="D75" s="59"/>
      <c r="E75" s="59"/>
      <c r="F75" s="59"/>
      <c r="G75" s="59"/>
      <c r="H75" s="60"/>
      <c r="I75" s="60"/>
      <c r="J75" s="60"/>
      <c r="K75" s="60"/>
    </row>
    <row r="76" ht="15.75" customHeight="1">
      <c r="A76" s="61"/>
      <c r="B76" s="61"/>
      <c r="C76" s="61"/>
      <c r="D76" s="61"/>
      <c r="E76" s="61"/>
      <c r="F76" s="61"/>
      <c r="G76" s="61"/>
      <c r="H76" s="60"/>
      <c r="I76" s="60"/>
      <c r="J76" s="60"/>
      <c r="K76" s="60"/>
    </row>
    <row r="77" ht="15.75" customHeight="1">
      <c r="A77" s="59"/>
      <c r="B77" s="59"/>
      <c r="C77" s="59"/>
      <c r="D77" s="59"/>
      <c r="E77" s="59"/>
      <c r="F77" s="59"/>
      <c r="G77" s="59"/>
      <c r="H77" s="60"/>
      <c r="I77" s="60"/>
      <c r="J77" s="60"/>
      <c r="K77" s="60"/>
    </row>
    <row r="78" ht="15.75" customHeight="1">
      <c r="A78" s="61"/>
      <c r="B78" s="61"/>
      <c r="C78" s="61"/>
      <c r="D78" s="61"/>
      <c r="E78" s="61"/>
      <c r="F78" s="61"/>
      <c r="G78" s="61"/>
      <c r="H78" s="60"/>
      <c r="I78" s="60"/>
      <c r="J78" s="60"/>
      <c r="K78" s="60"/>
    </row>
    <row r="79" ht="15.75" customHeight="1">
      <c r="A79" s="59"/>
      <c r="B79" s="59"/>
      <c r="C79" s="59"/>
      <c r="D79" s="59"/>
      <c r="E79" s="59"/>
      <c r="F79" s="59"/>
      <c r="G79" s="59"/>
      <c r="H79" s="60"/>
      <c r="I79" s="60"/>
      <c r="J79" s="60"/>
      <c r="K79" s="60"/>
    </row>
    <row r="80" ht="15.75" customHeight="1">
      <c r="A80" s="61"/>
      <c r="B80" s="61"/>
      <c r="C80" s="61"/>
      <c r="D80" s="61"/>
      <c r="E80" s="61"/>
      <c r="F80" s="61"/>
      <c r="G80" s="61"/>
      <c r="H80" s="60"/>
      <c r="I80" s="60"/>
      <c r="J80" s="60"/>
      <c r="K80" s="60"/>
    </row>
    <row r="81" ht="15.75" customHeight="1">
      <c r="A81" s="59"/>
      <c r="B81" s="59"/>
      <c r="C81" s="59"/>
      <c r="D81" s="59"/>
      <c r="E81" s="59"/>
      <c r="F81" s="59"/>
      <c r="G81" s="59"/>
      <c r="H81" s="60"/>
      <c r="I81" s="60"/>
      <c r="J81" s="60"/>
      <c r="K81" s="60"/>
    </row>
    <row r="82" ht="15.75" customHeight="1">
      <c r="A82" s="61"/>
      <c r="B82" s="61"/>
      <c r="C82" s="61"/>
      <c r="D82" s="61"/>
      <c r="E82" s="61"/>
      <c r="F82" s="61"/>
      <c r="G82" s="61"/>
      <c r="H82" s="60"/>
      <c r="I82" s="60"/>
      <c r="J82" s="60"/>
      <c r="K82" s="60"/>
    </row>
    <row r="83" ht="15.75" customHeight="1">
      <c r="A83" s="59"/>
      <c r="B83" s="59"/>
      <c r="C83" s="59"/>
      <c r="D83" s="59"/>
      <c r="E83" s="59"/>
      <c r="F83" s="59"/>
      <c r="G83" s="59"/>
      <c r="H83" s="60"/>
      <c r="I83" s="60"/>
      <c r="J83" s="60"/>
      <c r="K83" s="60"/>
    </row>
    <row r="84" ht="15.75" customHeight="1">
      <c r="A84" s="61"/>
      <c r="B84" s="61"/>
      <c r="C84" s="61"/>
      <c r="D84" s="61"/>
      <c r="E84" s="61"/>
      <c r="F84" s="61"/>
      <c r="G84" s="61"/>
      <c r="H84" s="60"/>
      <c r="I84" s="60"/>
      <c r="J84" s="60"/>
      <c r="K84" s="60"/>
    </row>
    <row r="85" ht="15.75" customHeight="1">
      <c r="A85" s="59"/>
      <c r="B85" s="59"/>
      <c r="C85" s="59"/>
      <c r="D85" s="59"/>
      <c r="E85" s="59"/>
      <c r="F85" s="59"/>
      <c r="G85" s="59"/>
      <c r="H85" s="60"/>
      <c r="I85" s="60"/>
      <c r="J85" s="60"/>
      <c r="K85" s="60"/>
    </row>
    <row r="86" ht="15.75" customHeight="1">
      <c r="A86" s="61"/>
      <c r="B86" s="61"/>
      <c r="C86" s="61"/>
      <c r="D86" s="61"/>
      <c r="E86" s="61"/>
      <c r="F86" s="61"/>
      <c r="G86" s="61"/>
      <c r="H86" s="60"/>
      <c r="I86" s="60"/>
      <c r="J86" s="60"/>
      <c r="K86" s="60"/>
    </row>
    <row r="87" ht="15.75" customHeight="1">
      <c r="A87" s="59"/>
      <c r="B87" s="59"/>
      <c r="C87" s="59"/>
      <c r="D87" s="59"/>
      <c r="E87" s="59"/>
      <c r="F87" s="59"/>
      <c r="G87" s="59"/>
      <c r="H87" s="60"/>
      <c r="I87" s="60"/>
      <c r="J87" s="60"/>
      <c r="K87" s="60"/>
    </row>
    <row r="88" ht="15.75" customHeight="1">
      <c r="A88" s="61"/>
      <c r="B88" s="61"/>
      <c r="C88" s="61"/>
      <c r="D88" s="61"/>
      <c r="E88" s="61"/>
      <c r="F88" s="61"/>
      <c r="G88" s="61"/>
      <c r="H88" s="60"/>
      <c r="I88" s="60"/>
      <c r="J88" s="60"/>
      <c r="K88" s="60"/>
    </row>
    <row r="89" ht="15.75" customHeight="1">
      <c r="A89" s="59"/>
      <c r="B89" s="59"/>
      <c r="C89" s="59"/>
      <c r="D89" s="59"/>
      <c r="E89" s="59"/>
      <c r="F89" s="59"/>
      <c r="G89" s="59"/>
      <c r="H89" s="60"/>
      <c r="I89" s="60"/>
      <c r="J89" s="60"/>
      <c r="K89" s="60"/>
    </row>
    <row r="90" ht="15.75" customHeight="1">
      <c r="A90" s="61"/>
      <c r="B90" s="61"/>
      <c r="C90" s="61"/>
      <c r="D90" s="61"/>
      <c r="E90" s="61"/>
      <c r="F90" s="61"/>
      <c r="G90" s="61"/>
      <c r="H90" s="60"/>
      <c r="I90" s="60"/>
      <c r="J90" s="60"/>
      <c r="K90" s="60"/>
    </row>
    <row r="91" ht="15.75" customHeight="1">
      <c r="A91" s="59"/>
      <c r="B91" s="59"/>
      <c r="C91" s="59"/>
      <c r="D91" s="59"/>
      <c r="E91" s="59"/>
      <c r="F91" s="59"/>
      <c r="G91" s="59"/>
      <c r="H91" s="60"/>
      <c r="I91" s="60"/>
      <c r="J91" s="60"/>
      <c r="K91" s="60"/>
    </row>
    <row r="92" ht="15.75" customHeight="1">
      <c r="A92" s="61"/>
      <c r="B92" s="61"/>
      <c r="C92" s="61"/>
      <c r="D92" s="61"/>
      <c r="E92" s="61"/>
      <c r="F92" s="61"/>
      <c r="G92" s="61"/>
      <c r="H92" s="60"/>
      <c r="I92" s="60"/>
      <c r="J92" s="60"/>
      <c r="K92" s="60"/>
    </row>
    <row r="93" ht="15.75" customHeight="1">
      <c r="A93" s="59"/>
      <c r="B93" s="59"/>
      <c r="C93" s="59"/>
      <c r="D93" s="59"/>
      <c r="E93" s="59"/>
      <c r="F93" s="59"/>
      <c r="G93" s="59"/>
      <c r="H93" s="60"/>
      <c r="I93" s="60"/>
      <c r="J93" s="60"/>
      <c r="K93" s="60"/>
    </row>
    <row r="94" ht="15.75" customHeight="1">
      <c r="A94" s="61"/>
      <c r="B94" s="61"/>
      <c r="C94" s="61"/>
      <c r="D94" s="61"/>
      <c r="E94" s="61"/>
      <c r="F94" s="61"/>
      <c r="G94" s="61"/>
      <c r="H94" s="60"/>
      <c r="I94" s="60"/>
      <c r="J94" s="60"/>
      <c r="K94" s="60"/>
    </row>
    <row r="95" ht="15.75" customHeight="1">
      <c r="A95" s="59"/>
      <c r="B95" s="59"/>
      <c r="C95" s="59"/>
      <c r="D95" s="59"/>
      <c r="E95" s="59"/>
      <c r="F95" s="59"/>
      <c r="G95" s="59"/>
      <c r="H95" s="60"/>
      <c r="I95" s="60"/>
      <c r="J95" s="60"/>
      <c r="K95" s="60"/>
    </row>
    <row r="96" ht="15.75" customHeight="1">
      <c r="A96" s="61"/>
      <c r="B96" s="61"/>
      <c r="C96" s="61"/>
      <c r="D96" s="61"/>
      <c r="E96" s="61"/>
      <c r="F96" s="61"/>
      <c r="G96" s="61"/>
      <c r="H96" s="60"/>
      <c r="I96" s="60"/>
      <c r="J96" s="60"/>
      <c r="K96" s="60"/>
    </row>
    <row r="97" ht="15.75" customHeight="1">
      <c r="A97" s="59"/>
      <c r="B97" s="59"/>
      <c r="C97" s="59"/>
      <c r="D97" s="59"/>
      <c r="E97" s="59"/>
      <c r="F97" s="59"/>
      <c r="G97" s="59"/>
      <c r="H97" s="60"/>
      <c r="I97" s="60"/>
      <c r="J97" s="60"/>
      <c r="K97" s="60"/>
    </row>
    <row r="98" ht="15.75" customHeight="1">
      <c r="A98" s="61"/>
      <c r="B98" s="61"/>
      <c r="C98" s="61"/>
      <c r="D98" s="61"/>
      <c r="E98" s="61"/>
      <c r="F98" s="61"/>
      <c r="G98" s="61"/>
      <c r="H98" s="60"/>
      <c r="I98" s="60"/>
      <c r="J98" s="60"/>
      <c r="K98" s="60"/>
    </row>
    <row r="99" ht="15.75" customHeight="1">
      <c r="A99" s="59"/>
      <c r="B99" s="59"/>
      <c r="C99" s="59"/>
      <c r="D99" s="59"/>
      <c r="E99" s="59"/>
      <c r="F99" s="59"/>
      <c r="G99" s="59"/>
      <c r="H99" s="60"/>
      <c r="I99" s="60"/>
      <c r="J99" s="60"/>
      <c r="K99" s="60"/>
    </row>
    <row r="100" ht="15.75" customHeight="1">
      <c r="A100" s="61"/>
      <c r="B100" s="61"/>
      <c r="C100" s="61"/>
      <c r="D100" s="61"/>
      <c r="E100" s="61"/>
      <c r="F100" s="61"/>
      <c r="G100" s="61"/>
      <c r="H100" s="60"/>
      <c r="I100" s="60"/>
      <c r="J100" s="60"/>
      <c r="K100" s="60"/>
    </row>
    <row r="101" ht="15.75" customHeight="1">
      <c r="A101" s="59"/>
      <c r="B101" s="59"/>
      <c r="C101" s="59"/>
      <c r="D101" s="59"/>
      <c r="E101" s="59"/>
      <c r="F101" s="59"/>
      <c r="G101" s="59"/>
      <c r="H101" s="60"/>
      <c r="I101" s="60"/>
      <c r="J101" s="60"/>
      <c r="K101" s="60"/>
    </row>
    <row r="102" ht="15.75" customHeight="1">
      <c r="A102" s="61"/>
      <c r="B102" s="61"/>
      <c r="C102" s="61"/>
      <c r="D102" s="61"/>
      <c r="E102" s="61"/>
      <c r="F102" s="61"/>
      <c r="G102" s="61"/>
      <c r="H102" s="60"/>
      <c r="I102" s="60"/>
      <c r="J102" s="60"/>
      <c r="K102" s="60"/>
    </row>
    <row r="103" ht="15.75" customHeight="1">
      <c r="A103" s="59"/>
      <c r="B103" s="59"/>
      <c r="C103" s="59"/>
      <c r="D103" s="59"/>
      <c r="E103" s="59"/>
      <c r="F103" s="59"/>
      <c r="G103" s="59"/>
      <c r="H103" s="60"/>
      <c r="I103" s="60"/>
      <c r="J103" s="60"/>
      <c r="K103" s="60"/>
    </row>
    <row r="104" ht="15.75" customHeight="1">
      <c r="A104" s="61"/>
      <c r="B104" s="61"/>
      <c r="C104" s="61"/>
      <c r="D104" s="61"/>
      <c r="E104" s="61"/>
      <c r="F104" s="61"/>
      <c r="G104" s="61"/>
      <c r="H104" s="60"/>
      <c r="I104" s="60"/>
      <c r="J104" s="60"/>
      <c r="K104" s="60"/>
    </row>
    <row r="105" ht="15.75" customHeight="1">
      <c r="A105" s="59"/>
      <c r="B105" s="59"/>
      <c r="C105" s="59"/>
      <c r="D105" s="59"/>
      <c r="E105" s="59"/>
      <c r="F105" s="59"/>
      <c r="G105" s="59"/>
      <c r="H105" s="60"/>
      <c r="I105" s="60"/>
      <c r="J105" s="60"/>
      <c r="K105" s="60"/>
    </row>
    <row r="106" ht="15.75" customHeight="1">
      <c r="A106" s="61"/>
      <c r="B106" s="61"/>
      <c r="C106" s="61"/>
      <c r="D106" s="61"/>
      <c r="E106" s="61"/>
      <c r="F106" s="61"/>
      <c r="G106" s="61"/>
      <c r="H106" s="60"/>
      <c r="I106" s="60"/>
      <c r="J106" s="60"/>
      <c r="K106" s="60"/>
    </row>
    <row r="107" ht="15.75" customHeight="1">
      <c r="A107" s="59"/>
      <c r="B107" s="59"/>
      <c r="C107" s="59"/>
      <c r="D107" s="59"/>
      <c r="E107" s="59"/>
      <c r="F107" s="59"/>
      <c r="G107" s="59"/>
      <c r="H107" s="60"/>
      <c r="I107" s="60"/>
      <c r="J107" s="60"/>
      <c r="K107" s="60"/>
    </row>
    <row r="108" ht="15.75" customHeight="1">
      <c r="A108" s="61"/>
      <c r="B108" s="61"/>
      <c r="C108" s="61"/>
      <c r="D108" s="61"/>
      <c r="E108" s="61"/>
      <c r="F108" s="61"/>
      <c r="G108" s="61"/>
      <c r="H108" s="60"/>
      <c r="I108" s="60"/>
      <c r="J108" s="60"/>
      <c r="K108" s="60"/>
    </row>
    <row r="109" ht="15.75" customHeight="1">
      <c r="A109" s="59"/>
      <c r="B109" s="59"/>
      <c r="C109" s="59"/>
      <c r="D109" s="59"/>
      <c r="E109" s="59"/>
      <c r="F109" s="59"/>
      <c r="G109" s="59"/>
      <c r="H109" s="60"/>
      <c r="I109" s="60"/>
      <c r="J109" s="60"/>
      <c r="K109" s="60"/>
    </row>
    <row r="110" ht="15.75" customHeight="1">
      <c r="A110" s="61"/>
      <c r="B110" s="61"/>
      <c r="C110" s="61"/>
      <c r="D110" s="61"/>
      <c r="E110" s="61"/>
      <c r="F110" s="61"/>
      <c r="G110" s="61"/>
      <c r="H110" s="60"/>
      <c r="I110" s="60"/>
      <c r="J110" s="60"/>
      <c r="K110" s="60"/>
    </row>
    <row r="111" ht="15.75" customHeight="1">
      <c r="A111" s="59"/>
      <c r="B111" s="59"/>
      <c r="C111" s="59"/>
      <c r="D111" s="59"/>
      <c r="E111" s="59"/>
      <c r="F111" s="59"/>
      <c r="G111" s="59"/>
      <c r="H111" s="60"/>
      <c r="I111" s="60"/>
      <c r="J111" s="60"/>
      <c r="K111" s="60"/>
    </row>
    <row r="112" ht="15.75" customHeight="1">
      <c r="A112" s="61"/>
      <c r="B112" s="61"/>
      <c r="C112" s="61"/>
      <c r="D112" s="61"/>
      <c r="E112" s="61"/>
      <c r="F112" s="61"/>
      <c r="G112" s="61"/>
      <c r="H112" s="60"/>
      <c r="I112" s="60"/>
      <c r="J112" s="60"/>
      <c r="K112" s="60"/>
    </row>
    <row r="113" ht="15.75" customHeight="1">
      <c r="A113" s="59"/>
      <c r="B113" s="59"/>
      <c r="C113" s="59"/>
      <c r="D113" s="59"/>
      <c r="E113" s="59"/>
      <c r="F113" s="59"/>
      <c r="G113" s="59"/>
      <c r="H113" s="60"/>
      <c r="I113" s="60"/>
      <c r="J113" s="60"/>
      <c r="K113" s="60"/>
    </row>
    <row r="114" ht="15.75" customHeight="1">
      <c r="A114" s="61"/>
      <c r="B114" s="61"/>
      <c r="C114" s="61"/>
      <c r="D114" s="61"/>
      <c r="E114" s="61"/>
      <c r="F114" s="61"/>
      <c r="G114" s="61"/>
      <c r="H114" s="60"/>
      <c r="I114" s="60"/>
      <c r="J114" s="60"/>
      <c r="K114" s="60"/>
    </row>
    <row r="115" ht="15.75" customHeight="1">
      <c r="A115" s="59"/>
      <c r="B115" s="59"/>
      <c r="C115" s="59"/>
      <c r="D115" s="59"/>
      <c r="E115" s="59"/>
      <c r="F115" s="59"/>
      <c r="G115" s="59"/>
      <c r="H115" s="60"/>
      <c r="I115" s="60"/>
      <c r="J115" s="60"/>
      <c r="K115" s="60"/>
    </row>
    <row r="116" ht="15.75" customHeight="1">
      <c r="A116" s="61"/>
      <c r="B116" s="61"/>
      <c r="C116" s="61"/>
      <c r="D116" s="61"/>
      <c r="E116" s="61"/>
      <c r="F116" s="61"/>
      <c r="G116" s="61"/>
      <c r="H116" s="60"/>
      <c r="I116" s="60"/>
      <c r="J116" s="60"/>
      <c r="K116" s="60"/>
    </row>
    <row r="117" ht="15.75" customHeight="1">
      <c r="A117" s="59"/>
      <c r="B117" s="59"/>
      <c r="C117" s="59"/>
      <c r="D117" s="59"/>
      <c r="E117" s="59"/>
      <c r="F117" s="59"/>
      <c r="G117" s="59"/>
      <c r="H117" s="60"/>
      <c r="I117" s="60"/>
      <c r="J117" s="60"/>
      <c r="K117" s="60"/>
    </row>
    <row r="118" ht="15.75" customHeight="1">
      <c r="A118" s="61"/>
      <c r="B118" s="61"/>
      <c r="C118" s="61"/>
      <c r="D118" s="61"/>
      <c r="E118" s="61"/>
      <c r="F118" s="61"/>
      <c r="G118" s="61"/>
      <c r="H118" s="60"/>
      <c r="I118" s="60"/>
      <c r="J118" s="60"/>
      <c r="K118" s="60"/>
    </row>
    <row r="119" ht="15.75" customHeight="1">
      <c r="A119" s="59"/>
      <c r="B119" s="59"/>
      <c r="C119" s="59"/>
      <c r="D119" s="59"/>
      <c r="E119" s="59"/>
      <c r="F119" s="59"/>
      <c r="G119" s="59"/>
      <c r="H119" s="60"/>
      <c r="I119" s="60"/>
      <c r="J119" s="60"/>
      <c r="K119" s="60"/>
    </row>
    <row r="120" ht="15.75" customHeight="1">
      <c r="A120" s="61"/>
      <c r="B120" s="61"/>
      <c r="C120" s="61"/>
      <c r="D120" s="61"/>
      <c r="E120" s="61"/>
      <c r="F120" s="61"/>
      <c r="G120" s="61"/>
      <c r="H120" s="60"/>
      <c r="I120" s="60"/>
      <c r="J120" s="60"/>
      <c r="K120" s="60"/>
    </row>
    <row r="121" ht="15.75" customHeight="1">
      <c r="A121" s="59"/>
      <c r="B121" s="59"/>
      <c r="C121" s="59"/>
      <c r="D121" s="59"/>
      <c r="E121" s="59"/>
      <c r="F121" s="59"/>
      <c r="G121" s="59"/>
      <c r="H121" s="60"/>
      <c r="I121" s="60"/>
      <c r="J121" s="60"/>
      <c r="K121" s="60"/>
    </row>
    <row r="122" ht="15.75" customHeight="1">
      <c r="A122" s="61"/>
      <c r="B122" s="61"/>
      <c r="C122" s="61"/>
      <c r="D122" s="61"/>
      <c r="E122" s="61"/>
      <c r="F122" s="61"/>
      <c r="G122" s="61"/>
      <c r="H122" s="60"/>
      <c r="I122" s="60"/>
      <c r="J122" s="60"/>
      <c r="K122" s="60"/>
    </row>
    <row r="123" ht="15.75" customHeight="1">
      <c r="A123" s="59"/>
      <c r="B123" s="59"/>
      <c r="C123" s="59"/>
      <c r="D123" s="59"/>
      <c r="E123" s="59"/>
      <c r="F123" s="59"/>
      <c r="G123" s="59"/>
      <c r="H123" s="60"/>
      <c r="I123" s="60"/>
      <c r="J123" s="60"/>
      <c r="K123" s="60"/>
    </row>
    <row r="124" ht="15.75" customHeight="1">
      <c r="A124" s="61"/>
      <c r="B124" s="61"/>
      <c r="C124" s="61"/>
      <c r="D124" s="61"/>
      <c r="E124" s="61"/>
      <c r="F124" s="61"/>
      <c r="G124" s="61"/>
      <c r="H124" s="60"/>
      <c r="I124" s="60"/>
      <c r="J124" s="60"/>
      <c r="K124" s="60"/>
    </row>
    <row r="125" ht="15.75" customHeight="1">
      <c r="A125" s="59"/>
      <c r="B125" s="59"/>
      <c r="C125" s="59"/>
      <c r="D125" s="59"/>
      <c r="E125" s="59"/>
      <c r="F125" s="59"/>
      <c r="G125" s="59"/>
      <c r="H125" s="60"/>
      <c r="I125" s="60"/>
      <c r="J125" s="60"/>
      <c r="K125" s="60"/>
    </row>
    <row r="126" ht="15.75" customHeight="1">
      <c r="A126" s="61"/>
      <c r="B126" s="61"/>
      <c r="C126" s="61"/>
      <c r="D126" s="61"/>
      <c r="E126" s="61"/>
      <c r="F126" s="61"/>
      <c r="G126" s="61"/>
      <c r="H126" s="60"/>
      <c r="I126" s="60"/>
      <c r="J126" s="60"/>
      <c r="K126" s="60"/>
    </row>
    <row r="127" ht="15.75" customHeight="1">
      <c r="A127" s="59"/>
      <c r="B127" s="59"/>
      <c r="C127" s="59"/>
      <c r="D127" s="59"/>
      <c r="E127" s="59"/>
      <c r="F127" s="59"/>
      <c r="G127" s="59"/>
      <c r="H127" s="60"/>
      <c r="I127" s="60"/>
      <c r="J127" s="60"/>
      <c r="K127" s="60"/>
    </row>
    <row r="128" ht="15.75" customHeight="1">
      <c r="A128" s="61"/>
      <c r="B128" s="61"/>
      <c r="C128" s="61"/>
      <c r="D128" s="61"/>
      <c r="E128" s="61"/>
      <c r="F128" s="61"/>
      <c r="G128" s="61"/>
      <c r="H128" s="60"/>
      <c r="I128" s="60"/>
      <c r="J128" s="60"/>
      <c r="K128" s="60"/>
    </row>
    <row r="129" ht="15.75" customHeight="1">
      <c r="A129" s="59"/>
      <c r="B129" s="59"/>
      <c r="C129" s="59"/>
      <c r="D129" s="59"/>
      <c r="E129" s="59"/>
      <c r="F129" s="59"/>
      <c r="G129" s="59"/>
      <c r="H129" s="60"/>
      <c r="I129" s="60"/>
      <c r="J129" s="60"/>
      <c r="K129" s="60"/>
    </row>
    <row r="130" ht="15.75" customHeight="1">
      <c r="A130" s="61"/>
      <c r="B130" s="61"/>
      <c r="C130" s="61"/>
      <c r="D130" s="61"/>
      <c r="E130" s="61"/>
      <c r="F130" s="61"/>
      <c r="G130" s="61"/>
      <c r="H130" s="60"/>
      <c r="I130" s="60"/>
      <c r="J130" s="60"/>
      <c r="K130" s="60"/>
    </row>
    <row r="131" ht="15.75" customHeight="1">
      <c r="A131" s="59"/>
      <c r="B131" s="59"/>
      <c r="C131" s="59"/>
      <c r="D131" s="59"/>
      <c r="E131" s="59"/>
      <c r="F131" s="59"/>
      <c r="G131" s="59"/>
      <c r="H131" s="60"/>
      <c r="I131" s="60"/>
      <c r="J131" s="60"/>
      <c r="K131" s="60"/>
    </row>
    <row r="132" ht="15.75" customHeight="1">
      <c r="A132" s="61"/>
      <c r="B132" s="61"/>
      <c r="C132" s="61"/>
      <c r="D132" s="61"/>
      <c r="E132" s="61"/>
      <c r="F132" s="61"/>
      <c r="G132" s="61"/>
      <c r="H132" s="60"/>
      <c r="I132" s="60"/>
      <c r="J132" s="60"/>
      <c r="K132" s="60"/>
    </row>
    <row r="133" ht="15.75" customHeight="1">
      <c r="A133" s="59"/>
      <c r="B133" s="59"/>
      <c r="C133" s="59"/>
      <c r="D133" s="59"/>
      <c r="E133" s="59"/>
      <c r="F133" s="59"/>
      <c r="G133" s="59"/>
      <c r="H133" s="60"/>
      <c r="I133" s="60"/>
      <c r="J133" s="60"/>
      <c r="K133" s="60"/>
    </row>
    <row r="134" ht="15.75" customHeight="1">
      <c r="A134" s="61"/>
      <c r="B134" s="61"/>
      <c r="C134" s="61"/>
      <c r="D134" s="61"/>
      <c r="E134" s="61"/>
      <c r="F134" s="61"/>
      <c r="G134" s="61"/>
      <c r="H134" s="60"/>
      <c r="I134" s="60"/>
      <c r="J134" s="60"/>
      <c r="K134" s="60"/>
    </row>
    <row r="135" ht="15.75" customHeight="1">
      <c r="A135" s="59"/>
      <c r="B135" s="59"/>
      <c r="C135" s="59"/>
      <c r="D135" s="59"/>
      <c r="E135" s="59"/>
      <c r="F135" s="59"/>
      <c r="G135" s="59"/>
      <c r="H135" s="60"/>
      <c r="I135" s="60"/>
      <c r="J135" s="60"/>
      <c r="K135" s="60"/>
    </row>
    <row r="136" ht="15.75" customHeight="1">
      <c r="A136" s="61"/>
      <c r="B136" s="61"/>
      <c r="C136" s="61"/>
      <c r="D136" s="61"/>
      <c r="E136" s="61"/>
      <c r="F136" s="61"/>
      <c r="G136" s="61"/>
      <c r="H136" s="60"/>
      <c r="I136" s="60"/>
      <c r="J136" s="60"/>
      <c r="K136" s="60"/>
    </row>
    <row r="137" ht="15.75" customHeight="1">
      <c r="A137" s="59"/>
      <c r="B137" s="59"/>
      <c r="C137" s="59"/>
      <c r="D137" s="59"/>
      <c r="E137" s="59"/>
      <c r="F137" s="59"/>
      <c r="G137" s="59"/>
      <c r="H137" s="60"/>
      <c r="I137" s="60"/>
      <c r="J137" s="60"/>
      <c r="K137" s="60"/>
    </row>
    <row r="138" ht="15.75" customHeight="1">
      <c r="A138" s="61"/>
      <c r="B138" s="61"/>
      <c r="C138" s="61"/>
      <c r="D138" s="61"/>
      <c r="E138" s="61"/>
      <c r="F138" s="61"/>
      <c r="G138" s="61"/>
      <c r="H138" s="60"/>
      <c r="I138" s="60"/>
      <c r="J138" s="60"/>
      <c r="K138" s="60"/>
    </row>
    <row r="139" ht="15.75" customHeight="1">
      <c r="A139" s="59"/>
      <c r="B139" s="59"/>
      <c r="C139" s="59"/>
      <c r="D139" s="59"/>
      <c r="E139" s="59"/>
      <c r="F139" s="59"/>
      <c r="G139" s="59"/>
      <c r="H139" s="60"/>
      <c r="I139" s="60"/>
      <c r="J139" s="60"/>
      <c r="K139" s="60"/>
    </row>
    <row r="140" ht="15.75" customHeight="1">
      <c r="A140" s="61"/>
      <c r="B140" s="61"/>
      <c r="C140" s="61"/>
      <c r="D140" s="61"/>
      <c r="E140" s="61"/>
      <c r="F140" s="61"/>
      <c r="G140" s="61"/>
      <c r="H140" s="60"/>
      <c r="I140" s="60"/>
      <c r="J140" s="60"/>
      <c r="K140" s="60"/>
    </row>
    <row r="141" ht="15.75" customHeight="1">
      <c r="A141" s="59"/>
      <c r="B141" s="59"/>
      <c r="C141" s="59"/>
      <c r="D141" s="59"/>
      <c r="E141" s="59"/>
      <c r="F141" s="59"/>
      <c r="G141" s="59"/>
      <c r="H141" s="60"/>
      <c r="I141" s="60"/>
      <c r="J141" s="60"/>
      <c r="K141" s="60"/>
    </row>
    <row r="142" ht="15.75" customHeight="1">
      <c r="A142" s="61"/>
      <c r="B142" s="61"/>
      <c r="C142" s="61"/>
      <c r="D142" s="61"/>
      <c r="E142" s="61"/>
      <c r="F142" s="61"/>
      <c r="G142" s="61"/>
      <c r="H142" s="60"/>
      <c r="I142" s="60"/>
      <c r="J142" s="60"/>
      <c r="K142" s="60"/>
    </row>
    <row r="143" ht="15.75" customHeight="1">
      <c r="A143" s="59"/>
      <c r="B143" s="59"/>
      <c r="C143" s="59"/>
      <c r="D143" s="59"/>
      <c r="E143" s="59"/>
      <c r="F143" s="59"/>
      <c r="G143" s="59"/>
      <c r="H143" s="60"/>
      <c r="I143" s="60"/>
      <c r="J143" s="60"/>
      <c r="K143" s="60"/>
    </row>
    <row r="144" ht="15.75" customHeight="1">
      <c r="A144" s="61"/>
      <c r="B144" s="61"/>
      <c r="C144" s="61"/>
      <c r="D144" s="61"/>
      <c r="E144" s="61"/>
      <c r="F144" s="61"/>
      <c r="G144" s="61"/>
      <c r="H144" s="60"/>
      <c r="I144" s="60"/>
      <c r="J144" s="60"/>
      <c r="K144" s="60"/>
    </row>
    <row r="145" ht="15.75" customHeight="1">
      <c r="A145" s="59"/>
      <c r="B145" s="59"/>
      <c r="C145" s="59"/>
      <c r="D145" s="59"/>
      <c r="E145" s="59"/>
      <c r="F145" s="59"/>
      <c r="G145" s="59"/>
      <c r="H145" s="60"/>
      <c r="I145" s="60"/>
      <c r="J145" s="60"/>
      <c r="K145" s="60"/>
    </row>
    <row r="146" ht="15.75" customHeight="1">
      <c r="A146" s="61"/>
      <c r="B146" s="61"/>
      <c r="C146" s="61"/>
      <c r="D146" s="61"/>
      <c r="E146" s="61"/>
      <c r="F146" s="61"/>
      <c r="G146" s="61"/>
      <c r="H146" s="60"/>
      <c r="I146" s="60"/>
      <c r="J146" s="60"/>
      <c r="K146" s="60"/>
    </row>
    <row r="147" ht="15.75" customHeight="1">
      <c r="A147" s="59"/>
      <c r="B147" s="59"/>
      <c r="C147" s="59"/>
      <c r="D147" s="59"/>
      <c r="E147" s="59"/>
      <c r="F147" s="59"/>
      <c r="G147" s="59"/>
      <c r="H147" s="60"/>
      <c r="I147" s="60"/>
      <c r="J147" s="60"/>
      <c r="K147" s="60"/>
    </row>
    <row r="148" ht="15.75" customHeight="1">
      <c r="A148" s="61"/>
      <c r="B148" s="61"/>
      <c r="C148" s="61"/>
      <c r="D148" s="61"/>
      <c r="E148" s="61"/>
      <c r="F148" s="61"/>
      <c r="G148" s="61"/>
      <c r="H148" s="60"/>
      <c r="I148" s="60"/>
      <c r="J148" s="60"/>
      <c r="K148" s="60"/>
    </row>
    <row r="149" ht="15.75" customHeight="1">
      <c r="A149" s="59"/>
      <c r="B149" s="59"/>
      <c r="C149" s="59"/>
      <c r="D149" s="59"/>
      <c r="E149" s="59"/>
      <c r="F149" s="59"/>
      <c r="G149" s="59"/>
      <c r="H149" s="60"/>
      <c r="I149" s="60"/>
      <c r="J149" s="60"/>
      <c r="K149" s="60"/>
    </row>
    <row r="150" ht="15.75" customHeight="1">
      <c r="A150" s="61"/>
      <c r="B150" s="61"/>
      <c r="C150" s="61"/>
      <c r="D150" s="61"/>
      <c r="E150" s="61"/>
      <c r="F150" s="61"/>
      <c r="G150" s="61"/>
      <c r="H150" s="60"/>
      <c r="I150" s="60"/>
      <c r="J150" s="60"/>
      <c r="K150" s="60"/>
    </row>
    <row r="151" ht="15.75" customHeight="1">
      <c r="A151" s="59"/>
      <c r="B151" s="59"/>
      <c r="C151" s="59"/>
      <c r="D151" s="59"/>
      <c r="E151" s="59"/>
      <c r="F151" s="59"/>
      <c r="G151" s="59"/>
      <c r="H151" s="60"/>
      <c r="I151" s="60"/>
      <c r="J151" s="60"/>
      <c r="K151" s="60"/>
    </row>
    <row r="152" ht="15.75" customHeight="1">
      <c r="A152" s="61"/>
      <c r="B152" s="61"/>
      <c r="C152" s="61"/>
      <c r="D152" s="61"/>
      <c r="E152" s="61"/>
      <c r="F152" s="61"/>
      <c r="G152" s="61"/>
      <c r="H152" s="60"/>
      <c r="I152" s="60"/>
      <c r="J152" s="60"/>
      <c r="K152" s="60"/>
    </row>
    <row r="153" ht="15.75" customHeight="1">
      <c r="A153" s="59"/>
      <c r="B153" s="59"/>
      <c r="C153" s="59"/>
      <c r="D153" s="59"/>
      <c r="E153" s="59"/>
      <c r="F153" s="59"/>
      <c r="G153" s="59"/>
      <c r="H153" s="60"/>
      <c r="I153" s="60"/>
      <c r="J153" s="60"/>
      <c r="K153" s="60"/>
    </row>
    <row r="154" ht="15.75" customHeight="1">
      <c r="A154" s="61"/>
      <c r="B154" s="61"/>
      <c r="C154" s="61"/>
      <c r="D154" s="61"/>
      <c r="E154" s="61"/>
      <c r="F154" s="61"/>
      <c r="G154" s="61"/>
      <c r="H154" s="60"/>
      <c r="I154" s="60"/>
      <c r="J154" s="60"/>
      <c r="K154" s="60"/>
    </row>
    <row r="155" ht="15.75" customHeight="1">
      <c r="A155" s="59"/>
      <c r="B155" s="59"/>
      <c r="C155" s="59"/>
      <c r="D155" s="59"/>
      <c r="E155" s="59"/>
      <c r="F155" s="59"/>
      <c r="G155" s="59"/>
      <c r="H155" s="60"/>
      <c r="I155" s="60"/>
      <c r="J155" s="60"/>
      <c r="K155" s="60"/>
    </row>
    <row r="156" ht="15.75" customHeight="1">
      <c r="A156" s="61"/>
      <c r="B156" s="61"/>
      <c r="C156" s="61"/>
      <c r="D156" s="61"/>
      <c r="E156" s="61"/>
      <c r="F156" s="61"/>
      <c r="G156" s="61"/>
      <c r="H156" s="60"/>
      <c r="I156" s="60"/>
      <c r="J156" s="60"/>
      <c r="K156" s="60"/>
    </row>
    <row r="157" ht="15.75" customHeight="1">
      <c r="A157" s="59"/>
      <c r="B157" s="59"/>
      <c r="C157" s="59"/>
      <c r="D157" s="59"/>
      <c r="E157" s="59"/>
      <c r="F157" s="59"/>
      <c r="G157" s="59"/>
      <c r="H157" s="60"/>
      <c r="I157" s="60"/>
      <c r="J157" s="60"/>
      <c r="K157" s="60"/>
    </row>
    <row r="158" ht="15.75" customHeight="1">
      <c r="A158" s="61"/>
      <c r="B158" s="61"/>
      <c r="C158" s="61"/>
      <c r="D158" s="61"/>
      <c r="E158" s="61"/>
      <c r="F158" s="61"/>
      <c r="G158" s="61"/>
      <c r="H158" s="60"/>
      <c r="I158" s="60"/>
      <c r="J158" s="60"/>
      <c r="K158" s="60"/>
    </row>
    <row r="159" ht="15.75" customHeight="1">
      <c r="A159" s="59"/>
      <c r="B159" s="59"/>
      <c r="C159" s="59"/>
      <c r="D159" s="59"/>
      <c r="E159" s="59"/>
      <c r="F159" s="59"/>
      <c r="G159" s="59"/>
      <c r="H159" s="60"/>
      <c r="I159" s="60"/>
      <c r="J159" s="60"/>
      <c r="K159" s="60"/>
    </row>
    <row r="160" ht="15.75" customHeight="1">
      <c r="A160" s="61"/>
      <c r="B160" s="61"/>
      <c r="C160" s="61"/>
      <c r="D160" s="61"/>
      <c r="E160" s="61"/>
      <c r="F160" s="61"/>
      <c r="G160" s="61"/>
      <c r="H160" s="60"/>
      <c r="I160" s="60"/>
      <c r="J160" s="60"/>
      <c r="K160" s="60"/>
    </row>
    <row r="161" ht="15.75" customHeight="1">
      <c r="A161" s="59"/>
      <c r="B161" s="59"/>
      <c r="C161" s="59"/>
      <c r="D161" s="59"/>
      <c r="E161" s="59"/>
      <c r="F161" s="59"/>
      <c r="G161" s="59"/>
      <c r="H161" s="60"/>
      <c r="I161" s="60"/>
      <c r="J161" s="60"/>
      <c r="K161" s="60"/>
    </row>
    <row r="162" ht="15.75" customHeight="1">
      <c r="A162" s="61"/>
      <c r="B162" s="61"/>
      <c r="C162" s="61"/>
      <c r="D162" s="61"/>
      <c r="E162" s="61"/>
      <c r="F162" s="61"/>
      <c r="G162" s="61"/>
      <c r="H162" s="60"/>
      <c r="I162" s="60"/>
      <c r="J162" s="60"/>
      <c r="K162" s="60"/>
    </row>
    <row r="163" ht="15.75" customHeight="1">
      <c r="A163" s="59"/>
      <c r="B163" s="59"/>
      <c r="C163" s="59"/>
      <c r="D163" s="59"/>
      <c r="E163" s="59"/>
      <c r="F163" s="59"/>
      <c r="G163" s="59"/>
      <c r="H163" s="60"/>
      <c r="I163" s="60"/>
      <c r="J163" s="60"/>
      <c r="K163" s="60"/>
    </row>
    <row r="164" ht="15.75" customHeight="1">
      <c r="A164" s="61"/>
      <c r="B164" s="61"/>
      <c r="C164" s="61"/>
      <c r="D164" s="61"/>
      <c r="E164" s="61"/>
      <c r="F164" s="61"/>
      <c r="G164" s="61"/>
      <c r="H164" s="60"/>
      <c r="I164" s="60"/>
      <c r="J164" s="60"/>
      <c r="K164" s="60"/>
    </row>
    <row r="165" ht="15.75" customHeight="1">
      <c r="A165" s="59"/>
      <c r="B165" s="59"/>
      <c r="C165" s="59"/>
      <c r="D165" s="59"/>
      <c r="E165" s="59"/>
      <c r="F165" s="59"/>
      <c r="G165" s="59"/>
      <c r="H165" s="60"/>
      <c r="I165" s="60"/>
      <c r="J165" s="60"/>
      <c r="K165" s="60"/>
    </row>
    <row r="166" ht="15.75" customHeight="1">
      <c r="A166" s="61"/>
      <c r="B166" s="61"/>
      <c r="C166" s="61"/>
      <c r="D166" s="61"/>
      <c r="E166" s="61"/>
      <c r="F166" s="61"/>
      <c r="G166" s="61"/>
      <c r="H166" s="60"/>
      <c r="I166" s="60"/>
      <c r="J166" s="60"/>
      <c r="K166" s="60"/>
    </row>
    <row r="167" ht="15.75" customHeight="1">
      <c r="A167" s="59"/>
      <c r="B167" s="59"/>
      <c r="C167" s="59"/>
      <c r="D167" s="59"/>
      <c r="E167" s="59"/>
      <c r="F167" s="59"/>
      <c r="G167" s="59"/>
      <c r="H167" s="60"/>
      <c r="I167" s="60"/>
      <c r="J167" s="60"/>
      <c r="K167" s="60"/>
    </row>
    <row r="168" ht="15.75" customHeight="1">
      <c r="A168" s="61"/>
      <c r="B168" s="61"/>
      <c r="C168" s="61"/>
      <c r="D168" s="61"/>
      <c r="E168" s="61"/>
      <c r="F168" s="61"/>
      <c r="G168" s="61"/>
      <c r="H168" s="60"/>
      <c r="I168" s="60"/>
      <c r="J168" s="60"/>
      <c r="K168" s="60"/>
    </row>
    <row r="169" ht="15.75" customHeight="1">
      <c r="A169" s="59"/>
      <c r="B169" s="59"/>
      <c r="C169" s="59"/>
      <c r="D169" s="59"/>
      <c r="E169" s="59"/>
      <c r="F169" s="59"/>
      <c r="G169" s="59"/>
      <c r="H169" s="60"/>
      <c r="I169" s="60"/>
      <c r="J169" s="60"/>
      <c r="K169" s="60"/>
    </row>
    <row r="170" ht="15.75" customHeight="1">
      <c r="A170" s="61"/>
      <c r="B170" s="61"/>
      <c r="C170" s="61"/>
      <c r="D170" s="61"/>
      <c r="E170" s="61"/>
      <c r="F170" s="61"/>
      <c r="G170" s="61"/>
      <c r="H170" s="60"/>
      <c r="I170" s="60"/>
      <c r="J170" s="60"/>
      <c r="K170" s="60"/>
    </row>
    <row r="171" ht="15.75" customHeight="1">
      <c r="A171" s="59"/>
      <c r="B171" s="59"/>
      <c r="C171" s="59"/>
      <c r="D171" s="59"/>
      <c r="E171" s="59"/>
      <c r="F171" s="59"/>
      <c r="G171" s="59"/>
      <c r="H171" s="60"/>
      <c r="I171" s="60"/>
      <c r="J171" s="60"/>
      <c r="K171" s="60"/>
    </row>
    <row r="172" ht="15.75" customHeight="1">
      <c r="A172" s="61"/>
      <c r="B172" s="61"/>
      <c r="C172" s="61"/>
      <c r="D172" s="61"/>
      <c r="E172" s="61"/>
      <c r="F172" s="61"/>
      <c r="G172" s="61"/>
      <c r="H172" s="60"/>
      <c r="I172" s="60"/>
      <c r="J172" s="60"/>
      <c r="K172" s="60"/>
    </row>
    <row r="173" ht="15.75" customHeight="1">
      <c r="A173" s="59"/>
      <c r="B173" s="59"/>
      <c r="C173" s="59"/>
      <c r="D173" s="59"/>
      <c r="E173" s="59"/>
      <c r="F173" s="59"/>
      <c r="G173" s="59"/>
      <c r="H173" s="60"/>
      <c r="I173" s="60"/>
      <c r="J173" s="60"/>
      <c r="K173" s="60"/>
    </row>
    <row r="174" ht="15.75" customHeight="1">
      <c r="A174" s="61"/>
      <c r="B174" s="61"/>
      <c r="C174" s="61"/>
      <c r="D174" s="61"/>
      <c r="E174" s="61"/>
      <c r="F174" s="61"/>
      <c r="G174" s="61"/>
      <c r="H174" s="60"/>
      <c r="I174" s="60"/>
      <c r="J174" s="60"/>
      <c r="K174" s="60"/>
    </row>
    <row r="175" ht="15.75" customHeight="1">
      <c r="A175" s="59"/>
      <c r="B175" s="59"/>
      <c r="C175" s="59"/>
      <c r="D175" s="59"/>
      <c r="E175" s="59"/>
      <c r="F175" s="59"/>
      <c r="G175" s="59"/>
      <c r="H175" s="60"/>
      <c r="I175" s="60"/>
      <c r="J175" s="60"/>
      <c r="K175" s="60"/>
    </row>
    <row r="176" ht="15.75" customHeight="1">
      <c r="A176" s="61"/>
      <c r="B176" s="61"/>
      <c r="C176" s="61"/>
      <c r="D176" s="61"/>
      <c r="E176" s="61"/>
      <c r="F176" s="61"/>
      <c r="G176" s="61"/>
      <c r="H176" s="60"/>
      <c r="I176" s="60"/>
      <c r="J176" s="60"/>
      <c r="K176" s="60"/>
    </row>
    <row r="177" ht="15.75" customHeight="1">
      <c r="A177" s="59"/>
      <c r="B177" s="59"/>
      <c r="C177" s="59"/>
      <c r="D177" s="59"/>
      <c r="E177" s="59"/>
      <c r="F177" s="59"/>
      <c r="G177" s="59"/>
      <c r="H177" s="60"/>
      <c r="I177" s="60"/>
      <c r="J177" s="60"/>
      <c r="K177" s="60"/>
    </row>
    <row r="178" ht="15.75" customHeight="1">
      <c r="A178" s="61"/>
      <c r="B178" s="61"/>
      <c r="C178" s="61"/>
      <c r="D178" s="61"/>
      <c r="E178" s="61"/>
      <c r="F178" s="61"/>
      <c r="G178" s="61"/>
      <c r="H178" s="60"/>
      <c r="I178" s="60"/>
      <c r="J178" s="60"/>
      <c r="K178" s="60"/>
    </row>
    <row r="179" ht="15.75" customHeight="1">
      <c r="A179" s="59"/>
      <c r="B179" s="59"/>
      <c r="C179" s="59"/>
      <c r="D179" s="59"/>
      <c r="E179" s="59"/>
      <c r="F179" s="59"/>
      <c r="G179" s="59"/>
      <c r="H179" s="60"/>
      <c r="I179" s="60"/>
      <c r="J179" s="60"/>
      <c r="K179" s="60"/>
    </row>
    <row r="180" ht="15.75" customHeight="1">
      <c r="A180" s="61"/>
      <c r="B180" s="61"/>
      <c r="C180" s="61"/>
      <c r="D180" s="61"/>
      <c r="E180" s="61"/>
      <c r="F180" s="61"/>
      <c r="G180" s="61"/>
      <c r="H180" s="60"/>
      <c r="I180" s="60"/>
      <c r="J180" s="60"/>
      <c r="K180" s="60"/>
    </row>
    <row r="181" ht="15.75" customHeight="1">
      <c r="A181" s="59"/>
      <c r="B181" s="59"/>
      <c r="C181" s="59"/>
      <c r="D181" s="59"/>
      <c r="E181" s="59"/>
      <c r="F181" s="59"/>
      <c r="G181" s="59"/>
      <c r="H181" s="60"/>
      <c r="I181" s="60"/>
      <c r="J181" s="60"/>
      <c r="K181" s="60"/>
    </row>
    <row r="182" ht="15.75" customHeight="1">
      <c r="A182" s="61"/>
      <c r="B182" s="61"/>
      <c r="C182" s="61"/>
      <c r="D182" s="61"/>
      <c r="E182" s="61"/>
      <c r="F182" s="61"/>
      <c r="G182" s="61"/>
      <c r="H182" s="60"/>
      <c r="I182" s="60"/>
      <c r="J182" s="60"/>
      <c r="K182" s="60"/>
    </row>
    <row r="183" ht="15.75" customHeight="1">
      <c r="A183" s="59"/>
      <c r="B183" s="59"/>
      <c r="C183" s="59"/>
      <c r="D183" s="59"/>
      <c r="E183" s="59"/>
      <c r="F183" s="59"/>
      <c r="G183" s="59"/>
      <c r="H183" s="60"/>
      <c r="I183" s="60"/>
      <c r="J183" s="60"/>
      <c r="K183" s="60"/>
    </row>
    <row r="184" ht="15.75" customHeight="1">
      <c r="A184" s="61"/>
      <c r="B184" s="61"/>
      <c r="C184" s="61"/>
      <c r="D184" s="61"/>
      <c r="E184" s="61"/>
      <c r="F184" s="61"/>
      <c r="G184" s="61"/>
      <c r="H184" s="60"/>
      <c r="I184" s="60"/>
      <c r="J184" s="60"/>
      <c r="K184" s="60"/>
    </row>
    <row r="185" ht="15.75" customHeight="1">
      <c r="A185" s="59"/>
      <c r="B185" s="59"/>
      <c r="C185" s="59"/>
      <c r="D185" s="59"/>
      <c r="E185" s="59"/>
      <c r="F185" s="59"/>
      <c r="G185" s="59"/>
      <c r="H185" s="60"/>
      <c r="I185" s="60"/>
      <c r="J185" s="60"/>
      <c r="K185" s="60"/>
    </row>
    <row r="186" ht="15.75" customHeight="1">
      <c r="A186" s="61"/>
      <c r="B186" s="61"/>
      <c r="C186" s="61"/>
      <c r="D186" s="61"/>
      <c r="E186" s="61"/>
      <c r="F186" s="61"/>
      <c r="G186" s="61"/>
      <c r="H186" s="60"/>
      <c r="I186" s="60"/>
      <c r="J186" s="60"/>
      <c r="K186" s="60"/>
    </row>
    <row r="187" ht="15.75" customHeight="1">
      <c r="A187" s="59"/>
      <c r="B187" s="59"/>
      <c r="C187" s="59"/>
      <c r="D187" s="59"/>
      <c r="E187" s="59"/>
      <c r="F187" s="59"/>
      <c r="G187" s="59"/>
      <c r="H187" s="60"/>
      <c r="I187" s="60"/>
      <c r="J187" s="60"/>
      <c r="K187" s="60"/>
    </row>
    <row r="188" ht="15.75" customHeight="1">
      <c r="A188" s="61"/>
      <c r="B188" s="61"/>
      <c r="C188" s="61"/>
      <c r="D188" s="61"/>
      <c r="E188" s="61"/>
      <c r="F188" s="61"/>
      <c r="G188" s="61"/>
      <c r="H188" s="60"/>
      <c r="I188" s="60"/>
      <c r="J188" s="60"/>
      <c r="K188" s="60"/>
    </row>
    <row r="189" ht="15.75" customHeight="1">
      <c r="A189" s="59"/>
      <c r="B189" s="59"/>
      <c r="C189" s="59"/>
      <c r="D189" s="59"/>
      <c r="E189" s="59"/>
      <c r="F189" s="59"/>
      <c r="G189" s="59"/>
      <c r="H189" s="60"/>
      <c r="I189" s="60"/>
      <c r="J189" s="60"/>
      <c r="K189" s="60"/>
    </row>
    <row r="190" ht="15.75" customHeight="1">
      <c r="A190" s="61"/>
      <c r="B190" s="61"/>
      <c r="C190" s="61"/>
      <c r="D190" s="61"/>
      <c r="E190" s="61"/>
      <c r="F190" s="61"/>
      <c r="G190" s="61"/>
      <c r="H190" s="60"/>
      <c r="I190" s="60"/>
      <c r="J190" s="60"/>
      <c r="K190" s="60"/>
    </row>
    <row r="191" ht="15.75" customHeight="1">
      <c r="A191" s="59"/>
      <c r="B191" s="59"/>
      <c r="C191" s="59"/>
      <c r="D191" s="59"/>
      <c r="E191" s="59"/>
      <c r="F191" s="59"/>
      <c r="G191" s="59"/>
      <c r="H191" s="60"/>
      <c r="I191" s="60"/>
      <c r="J191" s="60"/>
      <c r="K191" s="60"/>
    </row>
    <row r="192" ht="15.75" customHeight="1">
      <c r="A192" s="61"/>
      <c r="B192" s="61"/>
      <c r="C192" s="61"/>
      <c r="D192" s="61"/>
      <c r="E192" s="61"/>
      <c r="F192" s="61"/>
      <c r="G192" s="61"/>
      <c r="H192" s="60"/>
      <c r="I192" s="60"/>
      <c r="J192" s="60"/>
      <c r="K192" s="60"/>
    </row>
    <row r="193" ht="15.75" customHeight="1">
      <c r="A193" s="59"/>
      <c r="B193" s="59"/>
      <c r="C193" s="59"/>
      <c r="D193" s="59"/>
      <c r="E193" s="59"/>
      <c r="F193" s="59"/>
      <c r="G193" s="59"/>
      <c r="H193" s="60"/>
      <c r="I193" s="60"/>
      <c r="J193" s="60"/>
      <c r="K193" s="60"/>
    </row>
    <row r="194" ht="15.75" customHeight="1">
      <c r="A194" s="61"/>
      <c r="B194" s="61"/>
      <c r="C194" s="61"/>
      <c r="D194" s="61"/>
      <c r="E194" s="61"/>
      <c r="F194" s="61"/>
      <c r="G194" s="61"/>
      <c r="H194" s="60"/>
      <c r="I194" s="60"/>
      <c r="J194" s="60"/>
      <c r="K194" s="60"/>
    </row>
    <row r="195" ht="15.75" customHeight="1">
      <c r="A195" s="59"/>
      <c r="B195" s="59"/>
      <c r="C195" s="59"/>
      <c r="D195" s="59"/>
      <c r="E195" s="59"/>
      <c r="F195" s="59"/>
      <c r="G195" s="59"/>
      <c r="H195" s="60"/>
      <c r="I195" s="60"/>
      <c r="J195" s="60"/>
      <c r="K195" s="60"/>
    </row>
    <row r="196" ht="15.75" customHeight="1">
      <c r="A196" s="61"/>
      <c r="B196" s="61"/>
      <c r="C196" s="61"/>
      <c r="D196" s="61"/>
      <c r="E196" s="61"/>
      <c r="F196" s="61"/>
      <c r="G196" s="61"/>
      <c r="H196" s="60"/>
      <c r="I196" s="60"/>
      <c r="J196" s="60"/>
      <c r="K196" s="60"/>
    </row>
    <row r="197" ht="15.75" customHeight="1">
      <c r="A197" s="59"/>
      <c r="B197" s="59"/>
      <c r="C197" s="59"/>
      <c r="D197" s="59"/>
      <c r="E197" s="59"/>
      <c r="F197" s="59"/>
      <c r="G197" s="59"/>
      <c r="H197" s="60"/>
      <c r="I197" s="60"/>
      <c r="J197" s="60"/>
      <c r="K197" s="60"/>
    </row>
    <row r="198" ht="15.75" customHeight="1">
      <c r="A198" s="61"/>
      <c r="B198" s="61"/>
      <c r="C198" s="61"/>
      <c r="D198" s="61"/>
      <c r="E198" s="61"/>
      <c r="F198" s="61"/>
      <c r="G198" s="61"/>
      <c r="H198" s="60"/>
      <c r="I198" s="60"/>
      <c r="J198" s="60"/>
      <c r="K198" s="60"/>
    </row>
    <row r="199" ht="15.75" customHeight="1">
      <c r="A199" s="59"/>
      <c r="B199" s="59"/>
      <c r="C199" s="59"/>
      <c r="D199" s="59"/>
      <c r="E199" s="59"/>
      <c r="F199" s="59"/>
      <c r="G199" s="59"/>
      <c r="H199" s="60"/>
      <c r="I199" s="60"/>
      <c r="J199" s="60"/>
      <c r="K199" s="60"/>
    </row>
    <row r="200" ht="15.75" customHeight="1">
      <c r="A200" s="61"/>
      <c r="B200" s="61"/>
      <c r="C200" s="61"/>
      <c r="D200" s="61"/>
      <c r="E200" s="61"/>
      <c r="F200" s="61"/>
      <c r="G200" s="61"/>
      <c r="H200" s="60"/>
      <c r="I200" s="60"/>
      <c r="J200" s="60"/>
      <c r="K200" s="60"/>
    </row>
    <row r="201" ht="15.75" customHeight="1">
      <c r="A201" s="59"/>
      <c r="B201" s="59"/>
      <c r="C201" s="59"/>
      <c r="D201" s="59"/>
      <c r="E201" s="59"/>
      <c r="F201" s="59"/>
      <c r="G201" s="59"/>
      <c r="H201" s="60"/>
      <c r="I201" s="60"/>
      <c r="J201" s="60"/>
      <c r="K201" s="60"/>
    </row>
    <row r="202" ht="15.75" customHeight="1">
      <c r="A202" s="61"/>
      <c r="B202" s="61"/>
      <c r="C202" s="61"/>
      <c r="D202" s="61"/>
      <c r="E202" s="61"/>
      <c r="F202" s="61"/>
      <c r="G202" s="61"/>
      <c r="H202" s="60"/>
      <c r="I202" s="60"/>
      <c r="J202" s="60"/>
      <c r="K202" s="60"/>
    </row>
    <row r="203" ht="15.75" customHeight="1">
      <c r="A203" s="59"/>
      <c r="B203" s="59"/>
      <c r="C203" s="59"/>
      <c r="D203" s="59"/>
      <c r="E203" s="59"/>
      <c r="F203" s="59"/>
      <c r="G203" s="59"/>
      <c r="H203" s="60"/>
      <c r="I203" s="60"/>
      <c r="J203" s="60"/>
      <c r="K203" s="60"/>
    </row>
    <row r="204" ht="15.75" customHeight="1">
      <c r="A204" s="61"/>
      <c r="B204" s="61"/>
      <c r="C204" s="61"/>
      <c r="D204" s="61"/>
      <c r="E204" s="61"/>
      <c r="F204" s="61"/>
      <c r="G204" s="61"/>
      <c r="H204" s="60"/>
      <c r="I204" s="60"/>
      <c r="J204" s="60"/>
      <c r="K204" s="60"/>
    </row>
    <row r="205" ht="15.75" customHeight="1">
      <c r="A205" s="59"/>
      <c r="B205" s="59"/>
      <c r="C205" s="59"/>
      <c r="D205" s="59"/>
      <c r="E205" s="59"/>
      <c r="F205" s="59"/>
      <c r="G205" s="59"/>
      <c r="H205" s="60"/>
      <c r="I205" s="60"/>
      <c r="J205" s="60"/>
      <c r="K205" s="60"/>
    </row>
    <row r="206" ht="15.75" customHeight="1">
      <c r="A206" s="61"/>
      <c r="B206" s="61"/>
      <c r="C206" s="61"/>
      <c r="D206" s="61"/>
      <c r="E206" s="61"/>
      <c r="F206" s="61"/>
      <c r="G206" s="61"/>
      <c r="H206" s="60"/>
      <c r="I206" s="60"/>
      <c r="J206" s="60"/>
      <c r="K206" s="60"/>
    </row>
    <row r="207" ht="15.75" customHeight="1">
      <c r="A207" s="59"/>
      <c r="B207" s="59"/>
      <c r="C207" s="59"/>
      <c r="D207" s="59"/>
      <c r="E207" s="59"/>
      <c r="F207" s="59"/>
      <c r="G207" s="59"/>
      <c r="H207" s="60"/>
      <c r="I207" s="60"/>
      <c r="J207" s="60"/>
      <c r="K207" s="60"/>
    </row>
    <row r="208" ht="15.75" customHeight="1">
      <c r="A208" s="61"/>
      <c r="B208" s="61"/>
      <c r="C208" s="61"/>
      <c r="D208" s="61"/>
      <c r="E208" s="61"/>
      <c r="F208" s="61"/>
      <c r="G208" s="61"/>
      <c r="H208" s="60"/>
      <c r="I208" s="60"/>
      <c r="J208" s="60"/>
      <c r="K208" s="60"/>
    </row>
    <row r="209" ht="15.75" customHeight="1">
      <c r="A209" s="59"/>
      <c r="B209" s="59"/>
      <c r="C209" s="59"/>
      <c r="D209" s="59"/>
      <c r="E209" s="59"/>
      <c r="F209" s="59"/>
      <c r="G209" s="59"/>
      <c r="H209" s="60"/>
      <c r="I209" s="60"/>
      <c r="J209" s="60"/>
      <c r="K209" s="60"/>
    </row>
    <row r="210" ht="15.75" customHeight="1">
      <c r="A210" s="61"/>
      <c r="B210" s="61"/>
      <c r="C210" s="61"/>
      <c r="D210" s="61"/>
      <c r="E210" s="61"/>
      <c r="F210" s="61"/>
      <c r="G210" s="61"/>
      <c r="H210" s="60"/>
      <c r="I210" s="60"/>
      <c r="J210" s="60"/>
      <c r="K210" s="60"/>
    </row>
    <row r="211" ht="15.75" customHeight="1">
      <c r="A211" s="59"/>
      <c r="B211" s="59"/>
      <c r="C211" s="59"/>
      <c r="D211" s="59"/>
      <c r="E211" s="59"/>
      <c r="F211" s="59"/>
      <c r="G211" s="59"/>
      <c r="H211" s="60"/>
      <c r="I211" s="60"/>
      <c r="J211" s="60"/>
      <c r="K211" s="60"/>
    </row>
    <row r="212" ht="15.75" customHeight="1">
      <c r="A212" s="61"/>
      <c r="B212" s="61"/>
      <c r="C212" s="61"/>
      <c r="D212" s="61"/>
      <c r="E212" s="61"/>
      <c r="F212" s="61"/>
      <c r="G212" s="61"/>
      <c r="H212" s="60"/>
      <c r="I212" s="60"/>
      <c r="J212" s="60"/>
      <c r="K212" s="60"/>
    </row>
    <row r="213" ht="15.75" customHeight="1">
      <c r="A213" s="59"/>
      <c r="B213" s="59"/>
      <c r="C213" s="59"/>
      <c r="D213" s="59"/>
      <c r="E213" s="59"/>
      <c r="F213" s="59"/>
      <c r="G213" s="59"/>
      <c r="H213" s="60"/>
      <c r="I213" s="60"/>
      <c r="J213" s="60"/>
      <c r="K213" s="60"/>
    </row>
    <row r="214" ht="15.75" customHeight="1">
      <c r="A214" s="61"/>
      <c r="B214" s="61"/>
      <c r="C214" s="61"/>
      <c r="D214" s="61"/>
      <c r="E214" s="61"/>
      <c r="F214" s="61"/>
      <c r="G214" s="61"/>
      <c r="H214" s="60"/>
      <c r="I214" s="60"/>
      <c r="J214" s="60"/>
      <c r="K214" s="60"/>
    </row>
    <row r="215" ht="15.75" customHeight="1">
      <c r="A215" s="59"/>
      <c r="B215" s="59"/>
      <c r="C215" s="59"/>
      <c r="D215" s="59"/>
      <c r="E215" s="59"/>
      <c r="F215" s="59"/>
      <c r="G215" s="59"/>
      <c r="H215" s="60"/>
      <c r="I215" s="60"/>
      <c r="J215" s="60"/>
      <c r="K215" s="60"/>
    </row>
    <row r="216" ht="15.75" customHeight="1">
      <c r="A216" s="61"/>
      <c r="B216" s="61"/>
      <c r="C216" s="61"/>
      <c r="D216" s="61"/>
      <c r="E216" s="61"/>
      <c r="F216" s="61"/>
      <c r="G216" s="61"/>
      <c r="H216" s="60"/>
      <c r="I216" s="60"/>
      <c r="J216" s="60"/>
      <c r="K216" s="60"/>
    </row>
    <row r="217" ht="15.75" customHeight="1">
      <c r="A217" s="59"/>
      <c r="B217" s="59"/>
      <c r="C217" s="59"/>
      <c r="D217" s="59"/>
      <c r="E217" s="59"/>
      <c r="F217" s="59"/>
      <c r="G217" s="59"/>
      <c r="H217" s="60"/>
      <c r="I217" s="60"/>
      <c r="J217" s="60"/>
      <c r="K217" s="60"/>
    </row>
    <row r="218" ht="15.75" customHeight="1">
      <c r="A218" s="61"/>
      <c r="B218" s="61"/>
      <c r="C218" s="61"/>
      <c r="D218" s="61"/>
      <c r="E218" s="61"/>
      <c r="F218" s="61"/>
      <c r="G218" s="61"/>
      <c r="H218" s="60"/>
      <c r="I218" s="60"/>
      <c r="J218" s="60"/>
      <c r="K218" s="60"/>
    </row>
    <row r="219" ht="15.75" customHeight="1">
      <c r="A219" s="59"/>
      <c r="B219" s="59"/>
      <c r="C219" s="59"/>
      <c r="D219" s="59"/>
      <c r="E219" s="59"/>
      <c r="F219" s="59"/>
      <c r="G219" s="59"/>
      <c r="H219" s="60"/>
      <c r="I219" s="60"/>
      <c r="J219" s="60"/>
      <c r="K219" s="60"/>
    </row>
    <row r="220" ht="15.75" customHeight="1">
      <c r="A220" s="61"/>
      <c r="B220" s="61"/>
      <c r="C220" s="61"/>
      <c r="D220" s="61"/>
      <c r="E220" s="61"/>
      <c r="F220" s="61"/>
      <c r="G220" s="61"/>
      <c r="H220" s="60"/>
      <c r="I220" s="60"/>
      <c r="J220" s="60"/>
      <c r="K220" s="6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</row>
  </sheetData>
  <mergeCells count="11">
    <mergeCell ref="E9:F9"/>
    <mergeCell ref="G9:H9"/>
    <mergeCell ref="I9:J9"/>
    <mergeCell ref="A12:B12"/>
    <mergeCell ref="A1:B5"/>
    <mergeCell ref="C1:K1"/>
    <mergeCell ref="D2:K2"/>
    <mergeCell ref="D3:K3"/>
    <mergeCell ref="D4:K4"/>
    <mergeCell ref="D5:K5"/>
    <mergeCell ref="A7:J7"/>
  </mergeCells>
  <conditionalFormatting sqref="A11:K1000">
    <cfRule type="expression" dxfId="0" priority="1">
      <formula>AND(ISEVEN(ROW()), NOT(ISBLANK($A11)), ISERROR(SEARCH("Total da", $A11)))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12.5"/>
    <col customWidth="1" min="3" max="5" width="12.63"/>
    <col customWidth="1" min="6" max="6" width="20.0"/>
  </cols>
  <sheetData>
    <row r="1" ht="484.5" customHeight="1"/>
    <row r="2" ht="15.75" customHeight="1">
      <c r="H2" s="62" t="s">
        <v>33</v>
      </c>
    </row>
    <row r="3" ht="22.5" customHeight="1">
      <c r="A3" s="63" t="s">
        <v>34</v>
      </c>
      <c r="B3" s="63" t="s">
        <v>35</v>
      </c>
      <c r="K3" s="64" t="str">
        <f>IFERROR(__xludf.DUMMYFUNCTION("QUERY(DETALHADO!A10:J1000, ""select B, sum(J) where B is not null group by B order by sum(J) desc limit 10 label B 'Serviço', sum(J) 'Valor Total'"", 1)"),"Serviço")</f>
        <v>Serviço</v>
      </c>
      <c r="L3" s="64" t="str">
        <f>IFERROR(__xludf.DUMMYFUNCTION("""COMPUTED_VALUE"""),"Valor Total")</f>
        <v>Valor Total</v>
      </c>
    </row>
    <row r="4" ht="18.75" customHeight="1">
      <c r="A4" s="65" t="s">
        <v>36</v>
      </c>
      <c r="B4" s="66">
        <f>SUM(DETALHADO!F:F)/2</f>
        <v>1000</v>
      </c>
      <c r="H4" s="62" t="s">
        <v>33</v>
      </c>
      <c r="K4" s="67" t="str">
        <f>IFERROR(__xludf.DUMMYFUNCTION("""COMPUTED_VALUE"""),"Instalação elétrica quarto")</f>
        <v>Instalação elétrica quarto</v>
      </c>
      <c r="L4" s="68">
        <f>IFERROR(__xludf.DUMMYFUNCTION("""COMPUTED_VALUE"""),2500.0)</f>
        <v>2500</v>
      </c>
    </row>
    <row r="5" ht="22.5" customHeight="1">
      <c r="A5" s="65" t="s">
        <v>37</v>
      </c>
      <c r="B5" s="66">
        <f>SUM(DETALHADO!H:H)/2</f>
        <v>1500</v>
      </c>
      <c r="F5" s="67"/>
      <c r="G5" s="68"/>
      <c r="H5" s="62" t="s">
        <v>33</v>
      </c>
    </row>
    <row r="6" ht="15.75" customHeight="1">
      <c r="F6" s="67"/>
      <c r="G6" s="68"/>
    </row>
    <row r="7" ht="15.75" customHeight="1">
      <c r="F7" s="67"/>
      <c r="G7" s="68"/>
    </row>
    <row r="8" ht="15.75" customHeight="1">
      <c r="F8" s="67"/>
      <c r="G8" s="68"/>
    </row>
    <row r="9" ht="15.75" customHeight="1">
      <c r="F9" s="67"/>
      <c r="G9" s="68"/>
    </row>
    <row r="10" ht="15.75" customHeight="1">
      <c r="F10" s="67"/>
      <c r="G10" s="68"/>
    </row>
    <row r="11" ht="15.75" customHeight="1">
      <c r="F11" s="67"/>
      <c r="G11" s="68"/>
    </row>
    <row r="12" ht="15.75" customHeight="1">
      <c r="F12" s="67"/>
      <c r="G12" s="68"/>
    </row>
    <row r="13" ht="15.75" customHeight="1">
      <c r="F13" s="67"/>
      <c r="G13" s="68"/>
    </row>
    <row r="14" ht="15.75" customHeight="1">
      <c r="F14" s="69"/>
      <c r="G14" s="60" t="str">
        <f>IF(NOT(ISBLANK(F14)),SUMIF(DETALHADO!D:D, F14,DETALHADO!C:C),"")</f>
        <v/>
      </c>
    </row>
    <row r="15" ht="15.75" customHeight="1">
      <c r="F15" s="69"/>
      <c r="G15" s="60" t="str">
        <f>IF(NOT(ISBLANK(F15)),SUMIF(DETALHADO!D:D, F15,DETALHADO!C:C),"")</f>
        <v/>
      </c>
    </row>
    <row r="16" ht="15.75" customHeight="1">
      <c r="F16" s="69"/>
      <c r="G16" s="60" t="str">
        <f>IF(NOT(ISBLANK(F16)),SUMIF(DETALHADO!D:D, F16,DETALHADO!C:C),"")</f>
        <v/>
      </c>
    </row>
    <row r="17" ht="15.75" customHeight="1">
      <c r="F17" s="69"/>
      <c r="G17" s="60" t="str">
        <f>IF(NOT(ISBLANK(F17)),SUMIF(DETALHADO!D:D, F17,DETALHADO!C:C),"")</f>
        <v/>
      </c>
    </row>
    <row r="18" ht="15.75" customHeight="1">
      <c r="F18" s="69"/>
      <c r="G18" s="60" t="str">
        <f>IF(NOT(ISBLANK(F18)),SUMIF(DETALHADO!D:D, F18,DETALHADO!C:C),"")</f>
        <v/>
      </c>
    </row>
    <row r="19" ht="15.75" customHeight="1">
      <c r="F19" s="69"/>
      <c r="G19" s="60" t="str">
        <f>IF(NOT(ISBLANK(F19)),SUMIF(DETALHADO!D:D, F19,DETALHADO!C:C),"")</f>
        <v/>
      </c>
    </row>
    <row r="20" ht="15.75" customHeight="1">
      <c r="F20" s="69"/>
      <c r="G20" s="60" t="str">
        <f>IF(NOT(ISBLANK(F20)),SUMIF(DETALHADO!D:D, F20,DETALHADO!C:C),"")</f>
        <v/>
      </c>
    </row>
    <row r="21" ht="15.75" customHeight="1">
      <c r="F21" s="69"/>
      <c r="G21" s="60" t="str">
        <f>IF(NOT(ISBLANK(F21)),SUMIF(DETALHADO!D:D, F21,DETALHADO!C:C),"")</f>
        <v/>
      </c>
    </row>
    <row r="22" ht="15.75" customHeight="1">
      <c r="F22" s="69"/>
      <c r="G22" s="60" t="str">
        <f>IF(NOT(ISBLANK(F22)),SUMIF(DETALHADO!D:D, F22,DETALHADO!C:C),"")</f>
        <v/>
      </c>
    </row>
    <row r="23" ht="15.75" customHeight="1">
      <c r="F23" s="69"/>
      <c r="G23" s="60" t="str">
        <f>IF(NOT(ISBLANK(F23)),SUMIF(DETALHADO!D:D, F23,DETALHADO!C:C),"")</f>
        <v/>
      </c>
    </row>
    <row r="24" ht="15.75" customHeight="1">
      <c r="F24" s="69"/>
      <c r="G24" s="60" t="str">
        <f>IF(NOT(ISBLANK(F24)),SUMIF(DETALHADO!D:D, F24,DETALHADO!C:C),"")</f>
        <v/>
      </c>
    </row>
    <row r="25" ht="15.75" customHeight="1">
      <c r="F25" s="69"/>
      <c r="G25" s="60" t="str">
        <f>IF(NOT(ISBLANK(F25)),SUMIF(DETALHADO!D:D, F25,DETALHADO!C:C),"")</f>
        <v/>
      </c>
    </row>
    <row r="26" ht="15.75" customHeight="1">
      <c r="F26" s="69"/>
      <c r="G26" s="60" t="str">
        <f>IF(NOT(ISBLANK(F26)),SUMIF(DETALHADO!D:D, F26,DETALHADO!C:C),"")</f>
        <v/>
      </c>
    </row>
    <row r="27" ht="15.75" customHeight="1">
      <c r="F27" s="69"/>
      <c r="G27" s="60" t="str">
        <f>IF(NOT(ISBLANK(F27)),SUMIF(DETALHADO!D:D, F27,DETALHADO!C:C),"")</f>
        <v/>
      </c>
    </row>
    <row r="28" ht="15.75" customHeight="1">
      <c r="F28" s="69"/>
      <c r="G28" s="60" t="str">
        <f>IF(NOT(ISBLANK(F28)),SUMIF(DETALHADO!D:D, F28,DETALHADO!C:C),"")</f>
        <v/>
      </c>
    </row>
    <row r="29" ht="15.75" customHeight="1">
      <c r="F29" s="69"/>
      <c r="G29" s="60" t="str">
        <f>IF(NOT(ISBLANK(F29)),SUMIF(DETALHADO!D:D, F29,DETALHADO!C:C),"")</f>
        <v/>
      </c>
    </row>
    <row r="30" ht="15.75" customHeight="1">
      <c r="F30" s="69"/>
      <c r="G30" s="60" t="str">
        <f>IF(NOT(ISBLANK(F30)),SUMIF(DETALHADO!D:D, F30,DETALHADO!C:C),"")</f>
        <v/>
      </c>
    </row>
    <row r="31" ht="15.75" customHeight="1">
      <c r="F31" s="69"/>
      <c r="G31" s="60" t="str">
        <f>IF(NOT(ISBLANK(F31)),SUMIF(DETALHADO!D:D, F31,DETALHADO!C:C),"")</f>
        <v/>
      </c>
    </row>
    <row r="32" ht="15.75" customHeight="1">
      <c r="F32" s="69"/>
      <c r="G32" s="60" t="str">
        <f>IF(NOT(ISBLANK(F32)),SUMIF(DETALHADO!D:D, F32,DETALHADO!C:C),"")</f>
        <v/>
      </c>
    </row>
    <row r="33" ht="15.75" customHeight="1">
      <c r="F33" s="69"/>
      <c r="G33" s="60" t="str">
        <f>IF(NOT(ISBLANK(F33)),SUMIF(DETALHADO!D:D, F33,DETALHADO!C:C),"")</f>
        <v/>
      </c>
    </row>
    <row r="34" ht="15.75" customHeight="1">
      <c r="F34" s="69"/>
      <c r="G34" s="60" t="str">
        <f>IF(NOT(ISBLANK(F34)),SUMIF(DETALHADO!D:D, F34,DETALHADO!C:C),"")</f>
        <v/>
      </c>
    </row>
    <row r="35" ht="15.75" customHeight="1">
      <c r="F35" s="69"/>
      <c r="G35" s="60" t="str">
        <f>IF(NOT(ISBLANK(F35)),SUMIF(DETALHADO!D:D, F35,DETALHADO!C:C),"")</f>
        <v/>
      </c>
    </row>
    <row r="36" ht="15.75" customHeight="1">
      <c r="F36" s="69"/>
      <c r="G36" s="60" t="str">
        <f>IF(NOT(ISBLANK(F36)),SUMIF(DETALHADO!D:D, F36,DETALHADO!C:C),"")</f>
        <v/>
      </c>
    </row>
    <row r="37" ht="15.75" customHeight="1">
      <c r="F37" s="69"/>
      <c r="G37" s="60" t="str">
        <f>IF(NOT(ISBLANK(F37)),SUMIF(DETALHADO!D:D, F37,DETALHADO!C:C),"")</f>
        <v/>
      </c>
    </row>
    <row r="38" ht="15.75" customHeight="1">
      <c r="F38" s="69"/>
      <c r="G38" s="60" t="str">
        <f>IF(NOT(ISBLANK(F38)),SUMIF(DETALHADO!D:D, F38,DETALHADO!C:C),"")</f>
        <v/>
      </c>
    </row>
    <row r="39" ht="15.75" customHeight="1">
      <c r="F39" s="69"/>
      <c r="G39" s="60" t="str">
        <f>IF(NOT(ISBLANK(F39)),SUMIF(DETALHADO!D:D, F39,DETALHADO!C:C),"")</f>
        <v/>
      </c>
    </row>
    <row r="40" ht="15.75" customHeight="1">
      <c r="F40" s="69"/>
      <c r="G40" s="60" t="str">
        <f>IF(NOT(ISBLANK(F40)),SUMIF(DETALHADO!D:D, F40,DETALHADO!C:C),"")</f>
        <v/>
      </c>
    </row>
    <row r="41" ht="15.75" customHeight="1">
      <c r="F41" s="69"/>
      <c r="G41" s="60" t="str">
        <f>IF(NOT(ISBLANK(F41)),SUMIF(DETALHADO!D:D, F41,DETALHADO!C:C),"")</f>
        <v/>
      </c>
    </row>
    <row r="42" ht="15.75" customHeight="1">
      <c r="F42" s="69"/>
      <c r="G42" s="60" t="str">
        <f>IF(NOT(ISBLANK(F42)),SUMIF(DETALHADO!D:D, F42,DETALHADO!C:C),"")</f>
        <v/>
      </c>
    </row>
    <row r="43" ht="15.75" customHeight="1">
      <c r="F43" s="69"/>
      <c r="G43" s="60" t="str">
        <f>IF(NOT(ISBLANK(F43)),SUMIF(DETALHADO!D:D, F43,DETALHADO!C:C),"")</f>
        <v/>
      </c>
    </row>
    <row r="44" ht="15.75" customHeight="1">
      <c r="F44" s="69"/>
      <c r="G44" s="60" t="str">
        <f>IF(NOT(ISBLANK(F44)),SUMIF(DETALHADO!D:D, F44,DETALHADO!C:C),"")</f>
        <v/>
      </c>
    </row>
    <row r="45" ht="15.75" customHeight="1">
      <c r="F45" s="69"/>
      <c r="G45" s="60" t="str">
        <f>IF(NOT(ISBLANK(F45)),SUMIF(DETALHADO!D:D, F45,DETALHADO!C:C),"")</f>
        <v/>
      </c>
    </row>
    <row r="46" ht="15.75" customHeight="1">
      <c r="F46" s="69"/>
      <c r="G46" s="60" t="str">
        <f>IF(NOT(ISBLANK(F46)),SUMIF(DETALHADO!D:D, F46,DETALHADO!C:C),"")</f>
        <v/>
      </c>
    </row>
    <row r="47" ht="15.75" customHeight="1">
      <c r="F47" s="69"/>
      <c r="G47" s="60" t="str">
        <f>IF(NOT(ISBLANK(F47)),SUMIF(DETALHADO!D:D, F47,DETALHADO!C:C),"")</f>
        <v/>
      </c>
    </row>
    <row r="48" ht="15.75" customHeight="1">
      <c r="F48" s="69"/>
      <c r="G48" s="60" t="str">
        <f>IF(NOT(ISBLANK(F48)),SUMIF(DETALHADO!D:D, F48,DETALHADO!C:C),"")</f>
        <v/>
      </c>
    </row>
    <row r="49" ht="15.75" customHeight="1">
      <c r="F49" s="69"/>
      <c r="G49" s="60" t="str">
        <f>IF(NOT(ISBLANK(F49)),SUMIF(DETALHADO!D:D, F49,DETALHADO!C:C),"")</f>
        <v/>
      </c>
    </row>
    <row r="50" ht="15.75" customHeight="1">
      <c r="F50" s="69"/>
      <c r="G50" s="60" t="str">
        <f>IF(NOT(ISBLANK(F50)),SUMIF(DETALHADO!D:D, F50,DETALHADO!C:C),"")</f>
        <v/>
      </c>
    </row>
    <row r="51" ht="15.75" customHeight="1">
      <c r="F51" s="69"/>
      <c r="G51" s="60" t="str">
        <f>IF(NOT(ISBLANK(F51)),SUMIF(DETALHADO!D:D, F51,DETALHADO!C:C),"")</f>
        <v/>
      </c>
    </row>
    <row r="52" ht="15.75" customHeight="1">
      <c r="F52" s="69"/>
      <c r="G52" s="60" t="str">
        <f>IF(NOT(ISBLANK(F52)),SUMIF(DETALHADO!D:D, F52,DETALHADO!C:C),"")</f>
        <v/>
      </c>
    </row>
    <row r="53" ht="15.75" customHeight="1">
      <c r="F53" s="69"/>
      <c r="G53" s="60" t="str">
        <f>IF(NOT(ISBLANK(F53)),SUMIF(DETALHADO!D:D, F53,DETALHADO!C:C),"")</f>
        <v/>
      </c>
    </row>
    <row r="54" ht="15.75" customHeight="1">
      <c r="F54" s="69"/>
      <c r="G54" s="60" t="str">
        <f>IF(NOT(ISBLANK(F54)),SUMIF(DETALHADO!D:D, F54,DETALHADO!C:C),"")</f>
        <v/>
      </c>
    </row>
    <row r="55" ht="15.75" customHeight="1">
      <c r="F55" s="69"/>
      <c r="G55" s="60" t="str">
        <f>IF(NOT(ISBLANK(F55)),SUMIF(DETALHADO!D:D, F55,DETALHADO!C:C),"")</f>
        <v/>
      </c>
    </row>
    <row r="56" ht="15.75" customHeight="1">
      <c r="F56" s="69"/>
      <c r="G56" s="60" t="str">
        <f>IF(NOT(ISBLANK(F56)),SUMIF(DETALHADO!D:D, F56,DETALHADO!C:C),"")</f>
        <v/>
      </c>
    </row>
    <row r="57" ht="15.75" customHeight="1">
      <c r="F57" s="69"/>
      <c r="G57" s="60" t="str">
        <f>IF(NOT(ISBLANK(F57)),SUMIF(DETALHADO!D:D, F57,DETALHADO!C:C),"")</f>
        <v/>
      </c>
    </row>
    <row r="58" ht="15.75" customHeight="1">
      <c r="F58" s="69"/>
      <c r="G58" s="60" t="str">
        <f>IF(NOT(ISBLANK(F58)),SUMIF(DETALHADO!D:D, F58,DETALHADO!C:C),"")</f>
        <v/>
      </c>
    </row>
    <row r="59" ht="15.75" customHeight="1">
      <c r="F59" s="69"/>
      <c r="G59" s="60" t="str">
        <f>IF(NOT(ISBLANK(F59)),SUMIF(DETALHADO!D:D, F59,DETALHADO!C:C),"")</f>
        <v/>
      </c>
    </row>
    <row r="60" ht="15.75" customHeight="1">
      <c r="F60" s="69"/>
      <c r="G60" s="60" t="str">
        <f>IF(NOT(ISBLANK(F60)),SUMIF(DETALHADO!D:D, F60,DETALHADO!C:C),"")</f>
        <v/>
      </c>
    </row>
    <row r="61" ht="15.75" customHeight="1">
      <c r="F61" s="69"/>
      <c r="G61" s="60" t="str">
        <f>IF(NOT(ISBLANK(F61)),SUMIF(DETALHADO!D:D, F61,DETALHADO!C:C),"")</f>
        <v/>
      </c>
    </row>
    <row r="62" ht="15.75" customHeight="1">
      <c r="F62" s="69"/>
      <c r="G62" s="60" t="str">
        <f>IF(NOT(ISBLANK(F62)),SUMIF(DETALHADO!D:D, F62,DETALHADO!C:C),"")</f>
        <v/>
      </c>
    </row>
    <row r="63" ht="15.75" customHeight="1">
      <c r="F63" s="69"/>
      <c r="G63" s="60" t="str">
        <f>IF(NOT(ISBLANK(F63)),SUMIF(DETALHADO!D:D, F63,DETALHADO!C:C),"")</f>
        <v/>
      </c>
    </row>
    <row r="64" ht="15.75" customHeight="1">
      <c r="F64" s="69"/>
      <c r="G64" s="60" t="str">
        <f>IF(NOT(ISBLANK(F64)),SUMIF(DETALHADO!D:D, F64,DETALHADO!C:C),"")</f>
        <v/>
      </c>
    </row>
    <row r="65" ht="15.75" customHeight="1">
      <c r="F65" s="69"/>
      <c r="G65" s="60" t="str">
        <f>IF(NOT(ISBLANK(F65)),SUMIF(DETALHADO!D:D, F65,DETALHADO!C:C),"")</f>
        <v/>
      </c>
    </row>
    <row r="66" ht="15.75" customHeight="1">
      <c r="F66" s="69"/>
      <c r="G66" s="60" t="str">
        <f>IF(NOT(ISBLANK(F66)),SUMIF(DETALHADO!D:D, F66,DETALHADO!C:C),"")</f>
        <v/>
      </c>
    </row>
    <row r="67" ht="15.75" customHeight="1">
      <c r="F67" s="69"/>
      <c r="G67" s="60" t="str">
        <f>IF(NOT(ISBLANK(F67)),SUMIF(DETALHADO!D:D, F67,DETALHADO!C:C),"")</f>
        <v/>
      </c>
    </row>
    <row r="68" ht="15.75" customHeight="1">
      <c r="F68" s="69"/>
      <c r="G68" s="60" t="str">
        <f>IF(NOT(ISBLANK(F68)),SUMIF(DETALHADO!D:D, F68,DETALHADO!C:C),"")</f>
        <v/>
      </c>
    </row>
    <row r="69" ht="15.75" customHeight="1">
      <c r="F69" s="69"/>
      <c r="G69" s="60" t="str">
        <f>IF(NOT(ISBLANK(F69)),SUMIF(DETALHADO!D:D, F69,DETALHADO!C:C),"")</f>
        <v/>
      </c>
    </row>
    <row r="70" ht="15.75" customHeight="1">
      <c r="F70" s="69"/>
      <c r="G70" s="60" t="str">
        <f>IF(NOT(ISBLANK(F70)),SUMIF(DETALHADO!D:D, F70,DETALHADO!C:C),"")</f>
        <v/>
      </c>
    </row>
    <row r="71" ht="15.75" customHeight="1">
      <c r="F71" s="69"/>
      <c r="G71" s="60" t="str">
        <f>IF(NOT(ISBLANK(F71)),SUMIF(DETALHADO!D:D, F71,DETALHADO!C:C),"")</f>
        <v/>
      </c>
    </row>
    <row r="72" ht="15.75" customHeight="1">
      <c r="F72" s="69"/>
      <c r="G72" s="60" t="str">
        <f>IF(NOT(ISBLANK(F72)),SUMIF(DETALHADO!D:D, F72,DETALHADO!C:C),"")</f>
        <v/>
      </c>
    </row>
    <row r="73" ht="15.75" customHeight="1">
      <c r="F73" s="69"/>
      <c r="G73" s="60" t="str">
        <f>IF(NOT(ISBLANK(F73)),SUMIF(DETALHADO!D:D, F73,DETALHADO!C:C),"")</f>
        <v/>
      </c>
    </row>
    <row r="74" ht="15.75" customHeight="1">
      <c r="F74" s="69"/>
      <c r="G74" s="60" t="str">
        <f>IF(NOT(ISBLANK(F74)),SUMIF(DETALHADO!D:D, F74,DETALHADO!C:C),"")</f>
        <v/>
      </c>
    </row>
    <row r="75" ht="15.75" customHeight="1">
      <c r="F75" s="69"/>
      <c r="G75" s="60" t="str">
        <f>IF(NOT(ISBLANK(F75)),SUMIF(DETALHADO!D:D, F75,DETALHADO!C:C),"")</f>
        <v/>
      </c>
    </row>
    <row r="76" ht="15.75" customHeight="1">
      <c r="F76" s="69"/>
      <c r="G76" s="60" t="str">
        <f>IF(NOT(ISBLANK(F76)),SUMIF(DETALHADO!D:D, F76,DETALHADO!C:C),"")</f>
        <v/>
      </c>
    </row>
    <row r="77" ht="15.75" customHeight="1">
      <c r="F77" s="69"/>
      <c r="G77" s="60" t="str">
        <f>IF(NOT(ISBLANK(F77)),SUMIF(DETALHADO!D:D, F77,DETALHADO!C:C),"")</f>
        <v/>
      </c>
    </row>
    <row r="78" ht="15.75" customHeight="1">
      <c r="F78" s="69"/>
      <c r="G78" s="60" t="str">
        <f>IF(NOT(ISBLANK(F78)),SUMIF(DETALHADO!D:D, F78,DETALHADO!C:C),"")</f>
        <v/>
      </c>
    </row>
    <row r="79" ht="15.75" customHeight="1">
      <c r="F79" s="69"/>
      <c r="G79" s="60" t="str">
        <f>IF(NOT(ISBLANK(F79)),SUMIF(DETALHADO!D:D, F79,DETALHADO!C:C),"")</f>
        <v/>
      </c>
    </row>
    <row r="80" ht="15.75" customHeight="1">
      <c r="F80" s="69"/>
      <c r="G80" s="60" t="str">
        <f>IF(NOT(ISBLANK(F80)),SUMIF(DETALHADO!D:D, F80,DETALHADO!C:C),"")</f>
        <v/>
      </c>
    </row>
    <row r="81" ht="15.75" customHeight="1">
      <c r="F81" s="69"/>
      <c r="G81" s="60" t="str">
        <f>IF(NOT(ISBLANK(F81)),SUMIF(DETALHADO!D:D, F81,DETALHADO!C:C),"")</f>
        <v/>
      </c>
    </row>
    <row r="82" ht="15.75" customHeight="1">
      <c r="F82" s="69"/>
      <c r="G82" s="60" t="str">
        <f>IF(NOT(ISBLANK(F82)),SUMIF(DETALHADO!D:D, F82,DETALHADO!C:C),"")</f>
        <v/>
      </c>
    </row>
    <row r="83" ht="15.75" customHeight="1">
      <c r="F83" s="69"/>
      <c r="G83" s="60" t="str">
        <f>IF(NOT(ISBLANK(F83)),SUMIF(DETALHADO!D:D, F83,DETALHADO!C:C),"")</f>
        <v/>
      </c>
    </row>
    <row r="84" ht="15.75" customHeight="1">
      <c r="F84" s="69"/>
      <c r="G84" s="60" t="str">
        <f>IF(NOT(ISBLANK(F84)),SUMIF(DETALHADO!D:D, F84,DETALHADO!C:C),"")</f>
        <v/>
      </c>
    </row>
    <row r="85" ht="15.75" customHeight="1">
      <c r="F85" s="69"/>
      <c r="G85" s="60" t="str">
        <f>IF(NOT(ISBLANK(F85)),SUMIF(DETALHADO!D:D, F85,DETALHADO!C:C),"")</f>
        <v/>
      </c>
    </row>
    <row r="86" ht="15.75" customHeight="1">
      <c r="F86" s="69"/>
      <c r="G86" s="60" t="str">
        <f>IF(NOT(ISBLANK(F86)),SUMIF(DETALHADO!D:D, F86,DETALHADO!C:C),"")</f>
        <v/>
      </c>
    </row>
    <row r="87" ht="15.75" customHeight="1">
      <c r="F87" s="69"/>
      <c r="G87" s="60" t="str">
        <f>IF(NOT(ISBLANK(F87)),SUMIF(DETALHADO!D:D, F87,DETALHADO!C:C),"")</f>
        <v/>
      </c>
    </row>
    <row r="88" ht="15.75" customHeight="1">
      <c r="F88" s="69"/>
      <c r="G88" s="60" t="str">
        <f>IF(NOT(ISBLANK(F88)),SUMIF(DETALHADO!D:D, F88,DETALHADO!C:C),"")</f>
        <v/>
      </c>
    </row>
    <row r="89" ht="15.75" customHeight="1">
      <c r="F89" s="69"/>
      <c r="G89" s="60" t="str">
        <f>IF(NOT(ISBLANK(F89)),SUMIF(DETALHADO!D:D, F89,DETALHADO!C:C),"")</f>
        <v/>
      </c>
    </row>
    <row r="90" ht="15.75" customHeight="1">
      <c r="F90" s="69"/>
      <c r="G90" s="60" t="str">
        <f>IF(NOT(ISBLANK(F90)),SUMIF(DETALHADO!D:D, F90,DETALHADO!C:C),"")</f>
        <v/>
      </c>
    </row>
    <row r="91" ht="15.75" customHeight="1">
      <c r="F91" s="69"/>
      <c r="G91" s="60" t="str">
        <f>IF(NOT(ISBLANK(F91)),SUMIF(DETALHADO!D:D, F91,DETALHADO!C:C),"")</f>
        <v/>
      </c>
    </row>
    <row r="92" ht="15.75" customHeight="1">
      <c r="F92" s="69"/>
      <c r="G92" s="60" t="str">
        <f>IF(NOT(ISBLANK(F92)),SUMIF(DETALHADO!D:D, F92,DETALHADO!C:C),"")</f>
        <v/>
      </c>
    </row>
    <row r="93" ht="15.75" customHeight="1">
      <c r="F93" s="69"/>
      <c r="G93" s="60" t="str">
        <f>IF(NOT(ISBLANK(F93)),SUMIF(DETALHADO!D:D, F93,DETALHADO!C:C),"")</f>
        <v/>
      </c>
    </row>
    <row r="94" ht="15.75" customHeight="1">
      <c r="F94" s="69"/>
      <c r="G94" s="60" t="str">
        <f>IF(NOT(ISBLANK(F94)),SUMIF(DETALHADO!D:D, F94,DETALHADO!C:C),"")</f>
        <v/>
      </c>
    </row>
    <row r="95" ht="15.75" customHeight="1">
      <c r="F95" s="69"/>
      <c r="G95" s="60" t="str">
        <f>IF(NOT(ISBLANK(F95)),SUMIF(DETALHADO!D:D, F95,DETALHADO!C:C),"")</f>
        <v/>
      </c>
    </row>
    <row r="96" ht="15.75" customHeight="1">
      <c r="F96" s="69"/>
      <c r="G96" s="60" t="str">
        <f>IF(NOT(ISBLANK(F96)),SUMIF(DETALHADO!D:D, F96,DETALHADO!C:C),"")</f>
        <v/>
      </c>
    </row>
    <row r="97" ht="15.75" customHeight="1">
      <c r="F97" s="69"/>
      <c r="G97" s="60" t="str">
        <f>IF(NOT(ISBLANK(F97)),SUMIF(DETALHADO!D:D, F97,DETALHADO!C:C),"")</f>
        <v/>
      </c>
    </row>
    <row r="98" ht="15.75" customHeight="1">
      <c r="F98" s="69"/>
      <c r="G98" s="60" t="str">
        <f>IF(NOT(ISBLANK(F98)),SUMIF(DETALHADO!D:D, F98,DETALHADO!C:C),"")</f>
        <v/>
      </c>
    </row>
    <row r="99" ht="15.75" customHeight="1">
      <c r="F99" s="69"/>
      <c r="G99" s="60" t="str">
        <f>IF(NOT(ISBLANK(F99)),SUMIF(DETALHADO!D:D, F99,DETALHADO!C:C),"")</f>
        <v/>
      </c>
    </row>
    <row r="100" ht="15.75" customHeight="1">
      <c r="F100" s="69"/>
      <c r="G100" s="60" t="str">
        <f>IF(NOT(ISBLANK(F100)),SUMIF(DETALHADO!D:D, F100,DETALHADO!C:C),"")</f>
        <v/>
      </c>
    </row>
    <row r="101" ht="15.75" customHeight="1">
      <c r="F101" s="69"/>
      <c r="G101" s="60" t="str">
        <f>IF(NOT(ISBLANK(F101)),SUMIF(DETALHADO!D:D, F101,DETALHADO!C:C),"")</f>
        <v/>
      </c>
    </row>
    <row r="102" ht="15.75" customHeight="1">
      <c r="F102" s="69"/>
      <c r="G102" s="60" t="str">
        <f>IF(NOT(ISBLANK(F102)),SUMIF(DETALHADO!D:D, F102,DETALHADO!C:C),"")</f>
        <v/>
      </c>
    </row>
    <row r="103" ht="15.75" customHeight="1">
      <c r="F103" s="69"/>
      <c r="G103" s="60" t="str">
        <f>IF(NOT(ISBLANK(F103)),SUMIF(DETALHADO!D:D, F103,DETALHADO!C:C),"")</f>
        <v/>
      </c>
    </row>
    <row r="104" ht="15.75" customHeight="1">
      <c r="F104" s="69"/>
      <c r="G104" s="60" t="str">
        <f>IF(NOT(ISBLANK(F104)),SUMIF(DETALHADO!D:D, F104,DETALHADO!C:C),"")</f>
        <v/>
      </c>
    </row>
    <row r="105" ht="15.75" customHeight="1">
      <c r="F105" s="69"/>
      <c r="G105" s="60" t="str">
        <f>IF(NOT(ISBLANK(F105)),SUMIF(DETALHADO!D:D, F105,DETALHADO!C:C),"")</f>
        <v/>
      </c>
    </row>
    <row r="106" ht="15.75" customHeight="1">
      <c r="F106" s="69"/>
      <c r="G106" s="60" t="str">
        <f>IF(NOT(ISBLANK(F106)),SUMIF(DETALHADO!D:D, F106,DETALHADO!C:C),"")</f>
        <v/>
      </c>
    </row>
    <row r="107" ht="15.75" customHeight="1">
      <c r="F107" s="69"/>
      <c r="G107" s="60" t="str">
        <f>IF(NOT(ISBLANK(F107)),SUMIF(DETALHADO!D:D, F107,DETALHADO!C:C),"")</f>
        <v/>
      </c>
    </row>
    <row r="108" ht="15.75" customHeight="1">
      <c r="F108" s="69"/>
      <c r="G108" s="60" t="str">
        <f>IF(NOT(ISBLANK(F108)),SUMIF(DETALHADO!D:D, F108,DETALHADO!C:C),"")</f>
        <v/>
      </c>
    </row>
    <row r="109" ht="15.75" customHeight="1">
      <c r="F109" s="69"/>
      <c r="G109" s="60" t="str">
        <f>IF(NOT(ISBLANK(F109)),SUMIF(DETALHADO!D:D, F109,DETALHADO!C:C),"")</f>
        <v/>
      </c>
    </row>
    <row r="110" ht="15.75" customHeight="1">
      <c r="F110" s="69"/>
      <c r="G110" s="60" t="str">
        <f>IF(NOT(ISBLANK(F110)),SUMIF(DETALHADO!D:D, F110,DETALHADO!C:C),"")</f>
        <v/>
      </c>
    </row>
    <row r="111" ht="15.75" customHeight="1">
      <c r="F111" s="69"/>
      <c r="G111" s="60" t="str">
        <f>IF(NOT(ISBLANK(F111)),SUMIF(DETALHADO!D:D, F111,DETALHADO!C:C),"")</f>
        <v/>
      </c>
    </row>
    <row r="112" ht="15.75" customHeight="1">
      <c r="F112" s="69"/>
      <c r="G112" s="60" t="str">
        <f>IF(NOT(ISBLANK(F112)),SUMIF(DETALHADO!D:D, F112,DETALHADO!C:C),"")</f>
        <v/>
      </c>
    </row>
    <row r="113" ht="15.75" customHeight="1">
      <c r="F113" s="69"/>
      <c r="G113" s="60" t="str">
        <f>IF(NOT(ISBLANK(F113)),SUMIF(DETALHADO!D:D, F113,DETALHADO!C:C),"")</f>
        <v/>
      </c>
    </row>
    <row r="114" ht="15.75" customHeight="1">
      <c r="F114" s="69"/>
      <c r="G114" s="60" t="str">
        <f>IF(NOT(ISBLANK(F114)),SUMIF(DETALHADO!D:D, F114,DETALHADO!C:C),"")</f>
        <v/>
      </c>
    </row>
    <row r="115" ht="15.75" customHeight="1">
      <c r="F115" s="69"/>
      <c r="G115" s="60" t="str">
        <f>IF(NOT(ISBLANK(F115)),SUMIF(DETALHADO!D:D, F115,DETALHADO!C:C),"")</f>
        <v/>
      </c>
    </row>
    <row r="116" ht="15.75" customHeight="1">
      <c r="F116" s="69"/>
      <c r="G116" s="60" t="str">
        <f>IF(NOT(ISBLANK(F116)),SUMIF(DETALHADO!D:D, F116,DETALHADO!C:C),"")</f>
        <v/>
      </c>
    </row>
    <row r="117" ht="15.75" customHeight="1">
      <c r="F117" s="69"/>
      <c r="G117" s="60" t="str">
        <f>IF(NOT(ISBLANK(F117)),SUMIF(DETALHADO!D:D, F117,DETALHADO!C:C),"")</f>
        <v/>
      </c>
    </row>
    <row r="118" ht="15.75" customHeight="1">
      <c r="F118" s="69"/>
      <c r="G118" s="60" t="str">
        <f>IF(NOT(ISBLANK(F118)),SUMIF(DETALHADO!D:D, F118,DETALHADO!C:C),"")</f>
        <v/>
      </c>
    </row>
    <row r="119" ht="15.75" customHeight="1">
      <c r="F119" s="69"/>
      <c r="G119" s="60" t="str">
        <f>IF(NOT(ISBLANK(F119)),SUMIF(DETALHADO!D:D, F119,DETALHADO!C:C),"")</f>
        <v/>
      </c>
    </row>
    <row r="120" ht="15.75" customHeight="1">
      <c r="F120" s="69"/>
      <c r="G120" s="60" t="str">
        <f>IF(NOT(ISBLANK(F120)),SUMIF(DETALHADO!D:D, F120,DETALHADO!C:C),"")</f>
        <v/>
      </c>
    </row>
    <row r="121" ht="15.75" customHeight="1">
      <c r="F121" s="69"/>
      <c r="G121" s="60" t="str">
        <f>IF(NOT(ISBLANK(F121)),SUMIF(DETALHADO!D:D, F121,DETALHADO!C:C),"")</f>
        <v/>
      </c>
    </row>
    <row r="122" ht="15.75" customHeight="1">
      <c r="F122" s="69"/>
      <c r="G122" s="60" t="str">
        <f>IF(NOT(ISBLANK(F122)),SUMIF(DETALHADO!D:D, F122,DETALHADO!C:C),"")</f>
        <v/>
      </c>
    </row>
    <row r="123" ht="15.75" customHeight="1">
      <c r="F123" s="69"/>
      <c r="G123" s="60" t="str">
        <f>IF(NOT(ISBLANK(F123)),SUMIF(DETALHADO!D:D, F123,DETALHADO!C:C),"")</f>
        <v/>
      </c>
    </row>
    <row r="124" ht="15.75" customHeight="1">
      <c r="F124" s="69"/>
      <c r="G124" s="60" t="str">
        <f>IF(NOT(ISBLANK(F124)),SUMIF(DETALHADO!D:D, F124,DETALHADO!C:C),"")</f>
        <v/>
      </c>
    </row>
    <row r="125" ht="15.75" customHeight="1">
      <c r="F125" s="69"/>
      <c r="G125" s="60" t="str">
        <f>IF(NOT(ISBLANK(F125)),SUMIF(DETALHADO!D:D, F125,DETALHADO!C:C),"")</f>
        <v/>
      </c>
    </row>
    <row r="126" ht="15.75" customHeight="1">
      <c r="F126" s="69"/>
      <c r="G126" s="60" t="str">
        <f>IF(NOT(ISBLANK(F126)),SUMIF(DETALHADO!D:D, F126,DETALHADO!C:C),"")</f>
        <v/>
      </c>
    </row>
    <row r="127" ht="15.75" customHeight="1">
      <c r="F127" s="69"/>
      <c r="G127" s="60" t="str">
        <f>IF(NOT(ISBLANK(F127)),SUMIF(DETALHADO!D:D, F127,DETALHADO!C:C),"")</f>
        <v/>
      </c>
    </row>
    <row r="128" ht="15.75" customHeight="1">
      <c r="F128" s="69"/>
      <c r="G128" s="60" t="str">
        <f>IF(NOT(ISBLANK(F128)),SUMIF(DETALHADO!D:D, F128,DETALHADO!C:C),"")</f>
        <v/>
      </c>
    </row>
    <row r="129" ht="15.75" customHeight="1">
      <c r="F129" s="69"/>
      <c r="G129" s="60" t="str">
        <f>IF(NOT(ISBLANK(F129)),SUMIF(DETALHADO!D:D, F129,DETALHADO!C:C),"")</f>
        <v/>
      </c>
    </row>
    <row r="130" ht="15.75" customHeight="1">
      <c r="F130" s="69"/>
      <c r="G130" s="60" t="str">
        <f>IF(NOT(ISBLANK(F130)),SUMIF(DETALHADO!D:D, F130,DETALHADO!C:C),"")</f>
        <v/>
      </c>
    </row>
    <row r="131" ht="15.75" customHeight="1">
      <c r="F131" s="69"/>
      <c r="G131" s="60" t="str">
        <f>IF(NOT(ISBLANK(F131)),SUMIF(DETALHADO!D:D, F131,DETALHADO!C:C),"")</f>
        <v/>
      </c>
    </row>
    <row r="132" ht="15.75" customHeight="1">
      <c r="F132" s="69"/>
      <c r="G132" s="60" t="str">
        <f>IF(NOT(ISBLANK(F132)),SUMIF(DETALHADO!D:D, F132,DETALHADO!C:C),"")</f>
        <v/>
      </c>
    </row>
    <row r="133" ht="15.75" customHeight="1">
      <c r="F133" s="69"/>
      <c r="G133" s="60" t="str">
        <f>IF(NOT(ISBLANK(F133)),SUMIF(DETALHADO!D:D, F133,DETALHADO!C:C),"")</f>
        <v/>
      </c>
    </row>
    <row r="134" ht="15.75" customHeight="1">
      <c r="F134" s="69"/>
      <c r="G134" s="60" t="str">
        <f>IF(NOT(ISBLANK(F134)),SUMIF(DETALHADO!D:D, F134,DETALHADO!C:C),"")</f>
        <v/>
      </c>
    </row>
    <row r="135" ht="15.75" customHeight="1">
      <c r="F135" s="69"/>
      <c r="G135" s="60" t="str">
        <f>IF(NOT(ISBLANK(F135)),SUMIF(DETALHADO!D:D, F135,DETALHADO!C:C),"")</f>
        <v/>
      </c>
    </row>
    <row r="136" ht="15.75" customHeight="1">
      <c r="F136" s="69"/>
      <c r="G136" s="60" t="str">
        <f>IF(NOT(ISBLANK(F136)),SUMIF(DETALHADO!D:D, F136,DETALHADO!C:C),"")</f>
        <v/>
      </c>
    </row>
    <row r="137" ht="15.75" customHeight="1">
      <c r="F137" s="69"/>
      <c r="G137" s="60" t="str">
        <f>IF(NOT(ISBLANK(F137)),SUMIF(DETALHADO!D:D, F137,DETALHADO!C:C),"")</f>
        <v/>
      </c>
    </row>
    <row r="138" ht="15.75" customHeight="1">
      <c r="F138" s="69"/>
      <c r="G138" s="60" t="str">
        <f>IF(NOT(ISBLANK(F138)),SUMIF(DETALHADO!D:D, F138,DETALHADO!C:C),"")</f>
        <v/>
      </c>
    </row>
    <row r="139" ht="15.75" customHeight="1">
      <c r="F139" s="69"/>
      <c r="G139" s="60" t="str">
        <f>IF(NOT(ISBLANK(F139)),SUMIF(DETALHADO!D:D, F139,DETALHADO!C:C),"")</f>
        <v/>
      </c>
    </row>
    <row r="140" ht="15.75" customHeight="1">
      <c r="F140" s="69"/>
      <c r="G140" s="60" t="str">
        <f>IF(NOT(ISBLANK(F140)),SUMIF(DETALHADO!D:D, F140,DETALHADO!C:C),"")</f>
        <v/>
      </c>
    </row>
    <row r="141" ht="15.75" customHeight="1">
      <c r="F141" s="69"/>
      <c r="G141" s="60" t="str">
        <f>IF(NOT(ISBLANK(F141)),SUMIF(DETALHADO!D:D, F141,DETALHADO!C:C),"")</f>
        <v/>
      </c>
    </row>
    <row r="142" ht="15.75" customHeight="1">
      <c r="F142" s="69"/>
      <c r="G142" s="60" t="str">
        <f>IF(NOT(ISBLANK(F142)),SUMIF(DETALHADO!D:D, F142,DETALHADO!C:C),"")</f>
        <v/>
      </c>
    </row>
    <row r="143" ht="15.75" customHeight="1">
      <c r="F143" s="69"/>
      <c r="G143" s="60" t="str">
        <f>IF(NOT(ISBLANK(F143)),SUMIF(DETALHADO!D:D, F143,DETALHADO!C:C),"")</f>
        <v/>
      </c>
    </row>
    <row r="144" ht="15.75" customHeight="1">
      <c r="F144" s="69"/>
      <c r="G144" s="60" t="str">
        <f>IF(NOT(ISBLANK(F144)),SUMIF(DETALHADO!D:D, F144,DETALHADO!C:C),"")</f>
        <v/>
      </c>
    </row>
    <row r="145" ht="15.75" customHeight="1">
      <c r="F145" s="69"/>
      <c r="G145" s="60" t="str">
        <f>IF(NOT(ISBLANK(F145)),SUMIF(DETALHADO!D:D, F145,DETALHADO!C:C),"")</f>
        <v/>
      </c>
    </row>
    <row r="146" ht="15.75" customHeight="1">
      <c r="F146" s="69"/>
      <c r="G146" s="60" t="str">
        <f>IF(NOT(ISBLANK(F146)),SUMIF(DETALHADO!D:D, F146,DETALHADO!C:C),"")</f>
        <v/>
      </c>
    </row>
    <row r="147" ht="15.75" customHeight="1">
      <c r="F147" s="69"/>
      <c r="G147" s="60" t="str">
        <f>IF(NOT(ISBLANK(F147)),SUMIF(DETALHADO!D:D, F147,DETALHADO!C:C),"")</f>
        <v/>
      </c>
    </row>
    <row r="148" ht="15.75" customHeight="1">
      <c r="F148" s="69"/>
      <c r="G148" s="60" t="str">
        <f>IF(NOT(ISBLANK(F148)),SUMIF(DETALHADO!D:D, F148,DETALHADO!C:C),"")</f>
        <v/>
      </c>
    </row>
    <row r="149" ht="15.75" customHeight="1">
      <c r="F149" s="69"/>
      <c r="G149" s="60" t="str">
        <f>IF(NOT(ISBLANK(F149)),SUMIF(DETALHADO!D:D, F149,DETALHADO!C:C),"")</f>
        <v/>
      </c>
    </row>
    <row r="150" ht="15.75" customHeight="1">
      <c r="F150" s="69"/>
      <c r="G150" s="60" t="str">
        <f>IF(NOT(ISBLANK(F150)),SUMIF(DETALHADO!D:D, F150,DETALHADO!C:C),"")</f>
        <v/>
      </c>
    </row>
    <row r="151" ht="15.75" customHeight="1">
      <c r="F151" s="69"/>
      <c r="G151" s="60" t="str">
        <f>IF(NOT(ISBLANK(F151)),SUMIF(DETALHADO!D:D, F151,DETALHADO!C:C),"")</f>
        <v/>
      </c>
    </row>
    <row r="152" ht="15.75" customHeight="1">
      <c r="F152" s="69"/>
      <c r="G152" s="60" t="str">
        <f>IF(NOT(ISBLANK(F152)),SUMIF(DETALHADO!D:D, F152,DETALHADO!C:C),"")</f>
        <v/>
      </c>
    </row>
    <row r="153" ht="15.75" customHeight="1">
      <c r="F153" s="69"/>
      <c r="G153" s="60" t="str">
        <f>IF(NOT(ISBLANK(F153)),SUMIF(DETALHADO!D:D, F153,DETALHADO!C:C),"")</f>
        <v/>
      </c>
    </row>
    <row r="154" ht="15.75" customHeight="1">
      <c r="F154" s="69"/>
      <c r="G154" s="60" t="str">
        <f>IF(NOT(ISBLANK(F154)),SUMIF(DETALHADO!D:D, F154,DETALHADO!C:C),"")</f>
        <v/>
      </c>
    </row>
    <row r="155" ht="15.75" customHeight="1">
      <c r="F155" s="69"/>
      <c r="G155" s="60" t="str">
        <f>IF(NOT(ISBLANK(F155)),SUMIF(DETALHADO!D:D, F155,DETALHADO!C:C),"")</f>
        <v/>
      </c>
    </row>
    <row r="156" ht="15.75" customHeight="1">
      <c r="F156" s="69"/>
      <c r="G156" s="60" t="str">
        <f>IF(NOT(ISBLANK(F156)),SUMIF(DETALHADO!D:D, F156,DETALHADO!C:C),"")</f>
        <v/>
      </c>
    </row>
    <row r="157" ht="15.75" customHeight="1">
      <c r="F157" s="69"/>
      <c r="G157" s="60" t="str">
        <f>IF(NOT(ISBLANK(F157)),SUMIF(DETALHADO!D:D, F157,DETALHADO!C:C),"")</f>
        <v/>
      </c>
    </row>
    <row r="158" ht="15.75" customHeight="1">
      <c r="F158" s="69"/>
      <c r="G158" s="60" t="str">
        <f>IF(NOT(ISBLANK(F158)),SUMIF(DETALHADO!D:D, F158,DETALHADO!C:C),"")</f>
        <v/>
      </c>
    </row>
    <row r="159" ht="15.75" customHeight="1">
      <c r="F159" s="69"/>
      <c r="G159" s="60" t="str">
        <f>IF(NOT(ISBLANK(F159)),SUMIF(DETALHADO!D:D, F159,DETALHADO!C:C),"")</f>
        <v/>
      </c>
    </row>
    <row r="160" ht="15.75" customHeight="1">
      <c r="F160" s="69"/>
      <c r="G160" s="60" t="str">
        <f>IF(NOT(ISBLANK(F160)),SUMIF(DETALHADO!D:D, F160,DETALHADO!C:C),"")</f>
        <v/>
      </c>
    </row>
    <row r="161" ht="15.75" customHeight="1">
      <c r="F161" s="69"/>
      <c r="G161" s="60" t="str">
        <f>IF(NOT(ISBLANK(F161)),SUMIF(DETALHADO!D:D, F161,DETALHADO!C:C),"")</f>
        <v/>
      </c>
    </row>
    <row r="162" ht="15.75" customHeight="1">
      <c r="F162" s="69"/>
      <c r="G162" s="60" t="str">
        <f>IF(NOT(ISBLANK(F162)),SUMIF(DETALHADO!D:D, F162,DETALHADO!C:C),"")</f>
        <v/>
      </c>
    </row>
    <row r="163" ht="15.75" customHeight="1">
      <c r="F163" s="69"/>
      <c r="G163" s="60" t="str">
        <f>IF(NOT(ISBLANK(F163)),SUMIF(DETALHADO!D:D, F163,DETALHADO!C:C),"")</f>
        <v/>
      </c>
    </row>
    <row r="164" ht="15.75" customHeight="1">
      <c r="F164" s="69"/>
      <c r="G164" s="60" t="str">
        <f>IF(NOT(ISBLANK(F164)),SUMIF(DETALHADO!D:D, F164,DETALHADO!C:C),"")</f>
        <v/>
      </c>
    </row>
    <row r="165" ht="15.75" customHeight="1">
      <c r="F165" s="69"/>
      <c r="G165" s="60" t="str">
        <f>IF(NOT(ISBLANK(F165)),SUMIF(DETALHADO!D:D, F165,DETALHADO!C:C),"")</f>
        <v/>
      </c>
    </row>
    <row r="166" ht="15.75" customHeight="1">
      <c r="F166" s="69"/>
      <c r="G166" s="60" t="str">
        <f>IF(NOT(ISBLANK(F166)),SUMIF(DETALHADO!D:D, F166,DETALHADO!C:C),"")</f>
        <v/>
      </c>
    </row>
    <row r="167" ht="15.75" customHeight="1">
      <c r="F167" s="69"/>
      <c r="G167" s="60" t="str">
        <f>IF(NOT(ISBLANK(F167)),SUMIF(DETALHADO!D:D, F167,DETALHADO!C:C),"")</f>
        <v/>
      </c>
    </row>
    <row r="168" ht="15.75" customHeight="1">
      <c r="F168" s="69"/>
      <c r="G168" s="60" t="str">
        <f>IF(NOT(ISBLANK(F168)),SUMIF(DETALHADO!D:D, F168,DETALHADO!C:C),"")</f>
        <v/>
      </c>
    </row>
    <row r="169" ht="15.75" customHeight="1">
      <c r="F169" s="69"/>
      <c r="G169" s="60" t="str">
        <f>IF(NOT(ISBLANK(F169)),SUMIF(DETALHADO!D:D, F169,DETALHADO!C:C),"")</f>
        <v/>
      </c>
    </row>
    <row r="170" ht="15.75" customHeight="1">
      <c r="F170" s="69"/>
      <c r="G170" s="60" t="str">
        <f>IF(NOT(ISBLANK(F170)),SUMIF(DETALHADO!D:D, F170,DETALHADO!C:C),"")</f>
        <v/>
      </c>
    </row>
    <row r="171" ht="15.75" customHeight="1">
      <c r="F171" s="69"/>
      <c r="G171" s="60" t="str">
        <f>IF(NOT(ISBLANK(F171)),SUMIF(DETALHADO!D:D, F171,DETALHADO!C:C),"")</f>
        <v/>
      </c>
    </row>
    <row r="172" ht="15.75" customHeight="1">
      <c r="F172" s="69"/>
      <c r="G172" s="60" t="str">
        <f>IF(NOT(ISBLANK(F172)),SUMIF(DETALHADO!D:D, F172,DETALHADO!C:C),"")</f>
        <v/>
      </c>
    </row>
    <row r="173" ht="15.75" customHeight="1">
      <c r="F173" s="69"/>
      <c r="G173" s="60" t="str">
        <f>IF(NOT(ISBLANK(F173)),SUMIF(DETALHADO!D:D, F173,DETALHADO!C:C),"")</f>
        <v/>
      </c>
    </row>
    <row r="174" ht="15.75" customHeight="1">
      <c r="F174" s="69"/>
      <c r="G174" s="60" t="str">
        <f>IF(NOT(ISBLANK(F174)),SUMIF(DETALHADO!D:D, F174,DETALHADO!C:C),"")</f>
        <v/>
      </c>
    </row>
    <row r="175" ht="15.75" customHeight="1">
      <c r="F175" s="69"/>
      <c r="G175" s="60" t="str">
        <f>IF(NOT(ISBLANK(F175)),SUMIF(DETALHADO!D:D, F175,DETALHADO!C:C),"")</f>
        <v/>
      </c>
    </row>
    <row r="176" ht="15.75" customHeight="1">
      <c r="F176" s="69"/>
      <c r="G176" s="60" t="str">
        <f>IF(NOT(ISBLANK(F176)),SUMIF(DETALHADO!D:D, F176,DETALHADO!C:C),"")</f>
        <v/>
      </c>
    </row>
    <row r="177" ht="15.75" customHeight="1">
      <c r="F177" s="69"/>
      <c r="G177" s="60" t="str">
        <f>IF(NOT(ISBLANK(F177)),SUMIF(DETALHADO!D:D, F177,DETALHADO!C:C),"")</f>
        <v/>
      </c>
    </row>
    <row r="178" ht="15.75" customHeight="1">
      <c r="F178" s="69"/>
      <c r="G178" s="60" t="str">
        <f>IF(NOT(ISBLANK(F178)),SUMIF(DETALHADO!D:D, F178,DETALHADO!C:C),"")</f>
        <v/>
      </c>
    </row>
    <row r="179" ht="15.75" customHeight="1">
      <c r="F179" s="69"/>
      <c r="G179" s="60" t="str">
        <f>IF(NOT(ISBLANK(F179)),SUMIF(DETALHADO!D:D, F179,DETALHADO!C:C),"")</f>
        <v/>
      </c>
    </row>
    <row r="180" ht="15.75" customHeight="1">
      <c r="F180" s="69"/>
      <c r="G180" s="60" t="str">
        <f>IF(NOT(ISBLANK(F180)),SUMIF(DETALHADO!D:D, F180,DETALHADO!C:C),"")</f>
        <v/>
      </c>
    </row>
    <row r="181" ht="15.75" customHeight="1">
      <c r="F181" s="69"/>
      <c r="G181" s="60" t="str">
        <f>IF(NOT(ISBLANK(F181)),SUMIF(DETALHADO!D:D, F181,DETALHADO!C:C),"")</f>
        <v/>
      </c>
    </row>
    <row r="182" ht="15.75" customHeight="1">
      <c r="F182" s="69"/>
      <c r="G182" s="60" t="str">
        <f>IF(NOT(ISBLANK(F182)),SUMIF(DETALHADO!D:D, F182,DETALHADO!C:C),"")</f>
        <v/>
      </c>
    </row>
    <row r="183" ht="15.75" customHeight="1">
      <c r="F183" s="69"/>
      <c r="G183" s="60" t="str">
        <f>IF(NOT(ISBLANK(F183)),SUMIF(DETALHADO!D:D, F183,DETALHADO!C:C),"")</f>
        <v/>
      </c>
    </row>
    <row r="184" ht="15.75" customHeight="1">
      <c r="F184" s="69"/>
      <c r="G184" s="60" t="str">
        <f>IF(NOT(ISBLANK(F184)),SUMIF(DETALHADO!D:D, F184,DETALHADO!C:C),"")</f>
        <v/>
      </c>
    </row>
    <row r="185" ht="15.75" customHeight="1">
      <c r="F185" s="69"/>
      <c r="G185" s="60" t="str">
        <f>IF(NOT(ISBLANK(F185)),SUMIF(DETALHADO!D:D, F185,DETALHADO!C:C),"")</f>
        <v/>
      </c>
    </row>
    <row r="186" ht="15.75" customHeight="1">
      <c r="F186" s="69"/>
      <c r="G186" s="60" t="str">
        <f>IF(NOT(ISBLANK(F186)),SUMIF(DETALHADO!D:D, F186,DETALHADO!C:C),"")</f>
        <v/>
      </c>
    </row>
    <row r="187" ht="15.75" customHeight="1">
      <c r="F187" s="69"/>
      <c r="G187" s="60" t="str">
        <f>IF(NOT(ISBLANK(F187)),SUMIF(DETALHADO!D:D, F187,DETALHADO!C:C),"")</f>
        <v/>
      </c>
    </row>
    <row r="188" ht="15.75" customHeight="1">
      <c r="F188" s="69"/>
      <c r="G188" s="60" t="str">
        <f>IF(NOT(ISBLANK(F188)),SUMIF(DETALHADO!D:D, F188,DETALHADO!C:C),"")</f>
        <v/>
      </c>
    </row>
    <row r="189" ht="15.75" customHeight="1">
      <c r="F189" s="69"/>
      <c r="G189" s="60" t="str">
        <f>IF(NOT(ISBLANK(F189)),SUMIF(DETALHADO!D:D, F189,DETALHADO!C:C),"")</f>
        <v/>
      </c>
    </row>
    <row r="190" ht="15.75" customHeight="1">
      <c r="F190" s="69"/>
      <c r="G190" s="60" t="str">
        <f>IF(NOT(ISBLANK(F190)),SUMIF(DETALHADO!D:D, F190,DETALHADO!C:C),"")</f>
        <v/>
      </c>
    </row>
    <row r="191" ht="15.75" customHeight="1">
      <c r="F191" s="69"/>
      <c r="G191" s="60" t="str">
        <f>IF(NOT(ISBLANK(F191)),SUMIF(DETALHADO!D:D, F191,DETALHADO!C:C),"")</f>
        <v/>
      </c>
    </row>
    <row r="192" ht="15.75" customHeight="1">
      <c r="F192" s="69"/>
      <c r="G192" s="60" t="str">
        <f>IF(NOT(ISBLANK(F192)),SUMIF(DETALHADO!D:D, F192,DETALHADO!C:C),"")</f>
        <v/>
      </c>
    </row>
    <row r="193" ht="15.75" customHeight="1">
      <c r="F193" s="69"/>
      <c r="G193" s="60" t="str">
        <f>IF(NOT(ISBLANK(F193)),SUMIF(DETALHADO!D:D, F193,DETALHADO!C:C),"")</f>
        <v/>
      </c>
    </row>
    <row r="194" ht="15.75" customHeight="1">
      <c r="F194" s="69"/>
      <c r="G194" s="60" t="str">
        <f>IF(NOT(ISBLANK(F194)),SUMIF(DETALHADO!D:D, F194,DETALHADO!C:C),"")</f>
        <v/>
      </c>
    </row>
    <row r="195" ht="15.75" customHeight="1">
      <c r="F195" s="69"/>
      <c r="G195" s="60" t="str">
        <f>IF(NOT(ISBLANK(F195)),SUMIF(DETALHADO!D:D, F195,DETALHADO!C:C),"")</f>
        <v/>
      </c>
    </row>
    <row r="196" ht="15.75" customHeight="1">
      <c r="F196" s="69"/>
      <c r="G196" s="60" t="str">
        <f>IF(NOT(ISBLANK(F196)),SUMIF(DETALHADO!D:D, F196,DETALHADO!C:C),"")</f>
        <v/>
      </c>
    </row>
    <row r="197" ht="15.75" customHeight="1">
      <c r="F197" s="69"/>
      <c r="G197" s="60" t="str">
        <f>IF(NOT(ISBLANK(F197)),SUMIF(DETALHADO!D:D, F197,DETALHADO!C:C),"")</f>
        <v/>
      </c>
    </row>
    <row r="198" ht="15.75" customHeight="1">
      <c r="F198" s="69"/>
      <c r="G198" s="60" t="str">
        <f>IF(NOT(ISBLANK(F198)),SUMIF(DETALHADO!D:D, F198,DETALHADO!C:C),"")</f>
        <v/>
      </c>
    </row>
    <row r="199" ht="15.75" customHeight="1">
      <c r="F199" s="69"/>
      <c r="G199" s="60" t="str">
        <f>IF(NOT(ISBLANK(F199)),SUMIF(DETALHADO!D:D, F199,DETALHADO!C:C),"")</f>
        <v/>
      </c>
    </row>
    <row r="200" ht="15.75" customHeight="1">
      <c r="F200" s="69"/>
      <c r="G200" s="60" t="str">
        <f>IF(NOT(ISBLANK(F200)),SUMIF(DETALHADO!D:D, F200,DETALHADO!C:C),"")</f>
        <v/>
      </c>
    </row>
    <row r="201" ht="15.75" customHeight="1">
      <c r="F201" s="69"/>
      <c r="G201" s="60" t="str">
        <f>IF(NOT(ISBLANK(F201)),SUMIF(DETALHADO!D:D, F201,DETALHADO!C:C),"")</f>
        <v/>
      </c>
    </row>
    <row r="202" ht="15.75" customHeight="1">
      <c r="F202" s="69"/>
      <c r="G202" s="60" t="str">
        <f>IF(NOT(ISBLANK(F202)),SUMIF(DETALHADO!D:D, F202,DETALHADO!C:C),"")</f>
        <v/>
      </c>
    </row>
    <row r="203" ht="15.75" customHeight="1">
      <c r="F203" s="69"/>
      <c r="G203" s="60" t="str">
        <f>IF(NOT(ISBLANK(F203)),SUMIF(DETALHADO!D:D, F203,DETALHADO!C:C),"")</f>
        <v/>
      </c>
    </row>
    <row r="204" ht="15.75" customHeight="1">
      <c r="F204" s="69"/>
      <c r="G204" s="60" t="str">
        <f>IF(NOT(ISBLANK(F204)),SUMIF(DETALHADO!D:D, F204,DETALHADO!C:C),"")</f>
        <v/>
      </c>
    </row>
    <row r="205" ht="15.75" customHeight="1">
      <c r="F205" s="69"/>
      <c r="G205" s="60" t="str">
        <f>IF(NOT(ISBLANK(F205)),SUMIF(DETALHADO!D:D, F205,DETALHADO!C:C),"")</f>
        <v/>
      </c>
    </row>
    <row r="206" ht="15.75" customHeight="1">
      <c r="F206" s="69"/>
      <c r="G206" s="60" t="str">
        <f>IF(NOT(ISBLANK(F206)),SUMIF(DETALHADO!D:D, F206,DETALHADO!C:C),"")</f>
        <v/>
      </c>
    </row>
    <row r="207" ht="15.75" customHeight="1">
      <c r="F207" s="69"/>
      <c r="G207" s="60" t="str">
        <f>IF(NOT(ISBLANK(F207)),SUMIF(DETALHADO!D:D, F207,DETALHADO!C:C),"")</f>
        <v/>
      </c>
    </row>
    <row r="208" ht="15.75" customHeight="1">
      <c r="F208" s="69"/>
      <c r="G208" s="60" t="str">
        <f>IF(NOT(ISBLANK(F208)),SUMIF(DETALHADO!D:D, F208,DETALHADO!C:C),"")</f>
        <v/>
      </c>
    </row>
    <row r="209" ht="15.75" customHeight="1">
      <c r="F209" s="69"/>
      <c r="G209" s="60" t="str">
        <f>IF(NOT(ISBLANK(F209)),SUMIF(DETALHADO!D:D, F209,DETALHADO!C:C),"")</f>
        <v/>
      </c>
    </row>
    <row r="210" ht="15.75" customHeight="1">
      <c r="F210" s="69"/>
      <c r="G210" s="60" t="str">
        <f>IF(NOT(ISBLANK(F210)),SUMIF(DETALHADO!D:D, F210,DETALHADO!C:C),"")</f>
        <v/>
      </c>
    </row>
    <row r="211" ht="15.75" customHeight="1">
      <c r="F211" s="69"/>
      <c r="G211" s="60" t="str">
        <f>IF(NOT(ISBLANK(F211)),SUMIF(DETALHADO!D:D, F211,DETALHADO!C:C),"")</f>
        <v/>
      </c>
    </row>
    <row r="212" ht="15.75" customHeight="1">
      <c r="F212" s="69"/>
      <c r="G212" s="60" t="str">
        <f>IF(NOT(ISBLANK(F212)),SUMIF(DETALHADO!D:D, F212,DETALHADO!C:C),"")</f>
        <v/>
      </c>
    </row>
    <row r="213" ht="15.75" customHeight="1">
      <c r="F213" s="69"/>
      <c r="G213" s="60" t="str">
        <f>IF(NOT(ISBLANK(F213)),SUMIF(DETALHADO!D:D, F213,DETALHADO!C:C),"")</f>
        <v/>
      </c>
    </row>
    <row r="214" ht="15.75" customHeight="1">
      <c r="F214" s="69"/>
      <c r="G214" s="60" t="str">
        <f>IF(NOT(ISBLANK(F214)),SUMIF(DETALHADO!D:D, F214,DETALHADO!C:C),"")</f>
        <v/>
      </c>
    </row>
    <row r="215" ht="15.75" customHeight="1">
      <c r="F215" s="69"/>
      <c r="G215" s="60" t="str">
        <f>IF(NOT(ISBLANK(F215)),SUMIF(DETALHADO!D:D, F215,DETALHADO!C:C),"")</f>
        <v/>
      </c>
    </row>
    <row r="216" ht="15.75" customHeight="1">
      <c r="F216" s="69"/>
      <c r="G216" s="60" t="str">
        <f>IF(NOT(ISBLANK(F216)),SUMIF(DETALHADO!D:D, F216,DETALHADO!C:C),"")</f>
        <v/>
      </c>
    </row>
    <row r="217" ht="15.75" customHeight="1">
      <c r="F217" s="69"/>
      <c r="G217" s="60" t="str">
        <f>IF(NOT(ISBLANK(F217)),SUMIF(DETALHADO!D:D, F217,DETALHADO!C:C),"")</f>
        <v/>
      </c>
    </row>
    <row r="218" ht="15.75" customHeight="1">
      <c r="F218" s="69"/>
      <c r="G218" s="60" t="str">
        <f>IF(NOT(ISBLANK(F218)),SUMIF(DETALHADO!D:D, F218,DETALHADO!C:C),"")</f>
        <v/>
      </c>
    </row>
    <row r="219" ht="15.75" customHeight="1">
      <c r="F219" s="69"/>
      <c r="G219" s="60" t="str">
        <f>IF(NOT(ISBLANK(F219)),SUMIF(DETALHADO!D:D, F219,DETALHADO!C:C),"")</f>
        <v/>
      </c>
    </row>
    <row r="220" ht="15.75" customHeight="1">
      <c r="F220" s="69"/>
      <c r="G220" s="60" t="str">
        <f>IF(NOT(ISBLANK(F220)),SUMIF(DETALHADO!D:D, F220,DETALHADO!C:C),"")</f>
        <v/>
      </c>
    </row>
    <row r="221" ht="15.75" customHeight="1">
      <c r="F221" s="69"/>
      <c r="G221" s="60" t="str">
        <f>IF(NOT(ISBLANK(F221)),SUMIF(DETALHADO!D:D, F221,DETALHADO!C:C),"")</f>
        <v/>
      </c>
    </row>
    <row r="222" ht="15.75" customHeight="1">
      <c r="F222" s="69"/>
      <c r="G222" s="60" t="str">
        <f>IF(NOT(ISBLANK(F222)),SUMIF(DETALHADO!D:D, F222,DETALHADO!C:C),"")</f>
        <v/>
      </c>
    </row>
    <row r="223" ht="15.75" customHeight="1">
      <c r="F223" s="69"/>
      <c r="G223" s="60" t="str">
        <f>IF(NOT(ISBLANK(F223)),SUMIF(DETALHADO!D:D, F223,DETALHADO!C:C),"")</f>
        <v/>
      </c>
    </row>
    <row r="224" ht="15.75" customHeight="1">
      <c r="F224" s="69"/>
      <c r="G224" s="60" t="str">
        <f>IF(NOT(ISBLANK(F224)),SUMIF(DETALHADO!D:D, F224,DETALHADO!C:C),"")</f>
        <v/>
      </c>
    </row>
    <row r="225" ht="15.75" customHeight="1">
      <c r="F225" s="69"/>
      <c r="G225" s="60" t="str">
        <f>IF(NOT(ISBLANK(F225)),SUMIF(DETALHADO!D:D, F225,DETALHADO!C:C),"")</f>
        <v/>
      </c>
    </row>
    <row r="226" ht="15.75" customHeight="1">
      <c r="F226" s="69"/>
      <c r="G226" s="60" t="str">
        <f>IF(NOT(ISBLANK(F226)),SUMIF(DETALHADO!D:D, F226,DETALHADO!C:C),"")</f>
        <v/>
      </c>
    </row>
    <row r="227" ht="15.75" customHeight="1">
      <c r="F227" s="69"/>
      <c r="G227" s="60" t="str">
        <f>IF(NOT(ISBLANK(F227)),SUMIF(DETALHADO!D:D, F227,DETALHADO!C:C),"")</f>
        <v/>
      </c>
    </row>
    <row r="228" ht="15.75" customHeight="1">
      <c r="F228" s="69"/>
      <c r="G228" s="60" t="str">
        <f>IF(NOT(ISBLANK(F228)),SUMIF(DETALHADO!D:D, F228,DETALHADO!C:C),"")</f>
        <v/>
      </c>
    </row>
    <row r="229" ht="15.75" customHeight="1">
      <c r="F229" s="69"/>
      <c r="G229" s="60" t="str">
        <f>IF(NOT(ISBLANK(F229)),SUMIF(DETALHADO!D:D, F229,DETALHADO!C:C),"")</f>
        <v/>
      </c>
    </row>
    <row r="230" ht="15.75" customHeight="1">
      <c r="F230" s="69"/>
      <c r="G230" s="60" t="str">
        <f>IF(NOT(ISBLANK(F230)),SUMIF(DETALHADO!D:D, F230,DETALHADO!C:C),"")</f>
        <v/>
      </c>
    </row>
    <row r="231" ht="15.75" customHeight="1">
      <c r="F231" s="69"/>
      <c r="G231" s="60" t="str">
        <f>IF(NOT(ISBLANK(F231)),SUMIF(DETALHADO!D:D, F231,DETALHADO!C:C),"")</f>
        <v/>
      </c>
    </row>
    <row r="232" ht="15.75" customHeight="1">
      <c r="F232" s="69"/>
      <c r="G232" s="60" t="str">
        <f>IF(NOT(ISBLANK(F232)),SUMIF(DETALHADO!D:D, F232,DETALHADO!C:C),"")</f>
        <v/>
      </c>
    </row>
    <row r="233" ht="15.75" customHeight="1">
      <c r="F233" s="69"/>
      <c r="G233" s="60" t="str">
        <f>IF(NOT(ISBLANK(F233)),SUMIF(DETALHADO!D:D, F233,DETALHADO!C:C),"")</f>
        <v/>
      </c>
    </row>
    <row r="234" ht="15.75" customHeight="1">
      <c r="F234" s="69"/>
      <c r="G234" s="60" t="str">
        <f>IF(NOT(ISBLANK(F234)),SUMIF(DETALHADO!D:D, F234,DETALHADO!C:C),"")</f>
        <v/>
      </c>
    </row>
    <row r="235" ht="15.75" customHeight="1">
      <c r="F235" s="69"/>
      <c r="G235" s="60" t="str">
        <f>IF(NOT(ISBLANK(F235)),SUMIF(DETALHADO!D:D, F235,DETALHADO!C:C),"")</f>
        <v/>
      </c>
    </row>
    <row r="236" ht="15.75" customHeight="1">
      <c r="F236" s="69"/>
      <c r="G236" s="60" t="str">
        <f>IF(NOT(ISBLANK(F236)),SUMIF(DETALHADO!D:D, F236,DETALHADO!C:C),"")</f>
        <v/>
      </c>
    </row>
    <row r="237" ht="15.75" customHeight="1">
      <c r="F237" s="69"/>
      <c r="G237" s="60" t="str">
        <f>IF(NOT(ISBLANK(F237)),SUMIF(DETALHADO!D:D, F237,DETALHADO!C:C),"")</f>
        <v/>
      </c>
    </row>
    <row r="238" ht="15.75" customHeight="1">
      <c r="F238" s="69"/>
      <c r="G238" s="60" t="str">
        <f>IF(NOT(ISBLANK(F238)),SUMIF(DETALHADO!D:D, F238,DETALHADO!C:C),"")</f>
        <v/>
      </c>
    </row>
    <row r="239" ht="15.75" customHeight="1">
      <c r="F239" s="69"/>
      <c r="G239" s="60" t="str">
        <f>IF(NOT(ISBLANK(F239)),SUMIF(DETALHADO!D:D, F239,DETALHADO!C:C),"")</f>
        <v/>
      </c>
    </row>
    <row r="240" ht="15.75" customHeight="1">
      <c r="F240" s="69"/>
      <c r="G240" s="60" t="str">
        <f>IF(NOT(ISBLANK(F240)),SUMIF(DETALHADO!D:D, F240,DETALHADO!C:C),"")</f>
        <v/>
      </c>
    </row>
    <row r="241" ht="15.75" customHeight="1">
      <c r="F241" s="69"/>
      <c r="G241" s="60" t="str">
        <f>IF(NOT(ISBLANK(F241)),SUMIF(DETALHADO!D:D, F241,DETALHADO!C:C),"")</f>
        <v/>
      </c>
    </row>
    <row r="242" ht="15.75" customHeight="1">
      <c r="F242" s="69"/>
      <c r="G242" s="60" t="str">
        <f>IF(NOT(ISBLANK(F242)),SUMIF(DETALHADO!D:D, F242,DETALHADO!C:C),"")</f>
        <v/>
      </c>
    </row>
    <row r="243" ht="15.75" customHeight="1">
      <c r="F243" s="69"/>
      <c r="G243" s="60" t="str">
        <f>IF(NOT(ISBLANK(F243)),SUMIF(DETALHADO!D:D, F243,DETALHADO!C:C),"")</f>
        <v/>
      </c>
    </row>
    <row r="244" ht="15.75" customHeight="1">
      <c r="F244" s="69"/>
      <c r="G244" s="60" t="str">
        <f>IF(NOT(ISBLANK(F244)),SUMIF(DETALHADO!D:D, F244,DETALHADO!C:C),"")</f>
        <v/>
      </c>
    </row>
    <row r="245" ht="15.75" customHeight="1">
      <c r="F245" s="69"/>
      <c r="G245" s="60" t="str">
        <f>IF(NOT(ISBLANK(F245)),SUMIF(DETALHADO!D:D, F245,DETALHADO!C:C),"")</f>
        <v/>
      </c>
    </row>
    <row r="246" ht="15.75" customHeight="1">
      <c r="F246" s="69"/>
      <c r="G246" s="60" t="str">
        <f>IF(NOT(ISBLANK(F246)),SUMIF(DETALHADO!D:D, F246,DETALHADO!C:C),"")</f>
        <v/>
      </c>
    </row>
    <row r="247" ht="15.75" customHeight="1">
      <c r="F247" s="69"/>
      <c r="G247" s="60" t="str">
        <f>IF(NOT(ISBLANK(F247)),SUMIF(DETALHADO!D:D, F247,DETALHADO!C:C),"")</f>
        <v/>
      </c>
    </row>
    <row r="248" ht="15.75" customHeight="1">
      <c r="F248" s="69"/>
      <c r="G248" s="60" t="str">
        <f>IF(NOT(ISBLANK(F248)),SUMIF(DETALHADO!D:D, F248,DETALHADO!C:C),"")</f>
        <v/>
      </c>
    </row>
    <row r="249" ht="15.75" customHeight="1">
      <c r="F249" s="69"/>
      <c r="G249" s="60" t="str">
        <f>IF(NOT(ISBLANK(F249)),SUMIF(DETALHADO!D:D, F249,DETALHADO!C:C),"")</f>
        <v/>
      </c>
    </row>
    <row r="250" ht="15.75" customHeight="1">
      <c r="F250" s="69"/>
      <c r="G250" s="60" t="str">
        <f>IF(NOT(ISBLANK(F250)),SUMIF(DETALHADO!D:D, F250,DETALHADO!C:C),"")</f>
        <v/>
      </c>
    </row>
    <row r="251" ht="15.75" customHeight="1">
      <c r="F251" s="69"/>
      <c r="G251" s="60" t="str">
        <f>IF(NOT(ISBLANK(F251)),SUMIF(DETALHADO!D:D, F251,DETALHADO!C:C),"")</f>
        <v/>
      </c>
    </row>
    <row r="252" ht="15.75" customHeight="1">
      <c r="F252" s="69"/>
      <c r="G252" s="60" t="str">
        <f>IF(NOT(ISBLANK(F252)),SUMIF(DETALHADO!D:D, F252,DETALHADO!C:C),"")</f>
        <v/>
      </c>
    </row>
    <row r="253" ht="15.75" customHeight="1">
      <c r="F253" s="69"/>
      <c r="G253" s="60" t="str">
        <f>IF(NOT(ISBLANK(F253)),SUMIF(DETALHADO!D:D, F253,DETALHADO!C:C),"")</f>
        <v/>
      </c>
    </row>
    <row r="254" ht="15.75" customHeight="1">
      <c r="F254" s="69"/>
      <c r="G254" s="60" t="str">
        <f>IF(NOT(ISBLANK(F254)),SUMIF(DETALHADO!D:D, F254,DETALHADO!C:C),"")</f>
        <v/>
      </c>
    </row>
    <row r="255" ht="15.75" customHeight="1">
      <c r="F255" s="69"/>
      <c r="G255" s="60" t="str">
        <f>IF(NOT(ISBLANK(F255)),SUMIF(DETALHADO!D:D, F255,DETALHADO!C:C),"")</f>
        <v/>
      </c>
    </row>
    <row r="256" ht="15.75" customHeight="1">
      <c r="F256" s="69"/>
      <c r="G256" s="60" t="str">
        <f>IF(NOT(ISBLANK(F256)),SUMIF(DETALHADO!D:D, F256,DETALHADO!C:C),"")</f>
        <v/>
      </c>
    </row>
    <row r="257" ht="15.75" customHeight="1">
      <c r="F257" s="69"/>
      <c r="G257" s="60" t="str">
        <f>IF(NOT(ISBLANK(F257)),SUMIF(DETALHADO!D:D, F257,DETALHADO!C:C),"")</f>
        <v/>
      </c>
    </row>
    <row r="258" ht="15.75" customHeight="1">
      <c r="F258" s="69"/>
      <c r="G258" s="60" t="str">
        <f>IF(NOT(ISBLANK(F258)),SUMIF(DETALHADO!D:D, F258,DETALHADO!C:C),"")</f>
        <v/>
      </c>
    </row>
    <row r="259" ht="15.75" customHeight="1">
      <c r="F259" s="69"/>
      <c r="G259" s="60" t="str">
        <f>IF(NOT(ISBLANK(F259)),SUMIF(DETALHADO!D:D, F259,DETALHADO!C:C),"")</f>
        <v/>
      </c>
    </row>
    <row r="260" ht="15.75" customHeight="1">
      <c r="F260" s="69"/>
      <c r="G260" s="60" t="str">
        <f>IF(NOT(ISBLANK(F260)),SUMIF(DETALHADO!D:D, F260,DETALHADO!C:C),"")</f>
        <v/>
      </c>
    </row>
    <row r="261" ht="15.75" customHeight="1">
      <c r="F261" s="69"/>
      <c r="G261" s="60" t="str">
        <f>IF(NOT(ISBLANK(F261)),SUMIF(DETALHADO!D:D, F261,DETALHADO!C:C),"")</f>
        <v/>
      </c>
    </row>
    <row r="262" ht="15.75" customHeight="1">
      <c r="F262" s="69"/>
      <c r="G262" s="60" t="str">
        <f>IF(NOT(ISBLANK(F262)),SUMIF(DETALHADO!D:D, F262,DETALHADO!C:C),"")</f>
        <v/>
      </c>
    </row>
    <row r="263" ht="15.75" customHeight="1">
      <c r="F263" s="69"/>
      <c r="G263" s="60" t="str">
        <f>IF(NOT(ISBLANK(F263)),SUMIF(DETALHADO!D:D, F263,DETALHADO!C:C),"")</f>
        <v/>
      </c>
    </row>
    <row r="264" ht="15.75" customHeight="1">
      <c r="F264" s="69"/>
      <c r="G264" s="60" t="str">
        <f>IF(NOT(ISBLANK(F264)),SUMIF(DETALHADO!D:D, F264,DETALHADO!C:C),"")</f>
        <v/>
      </c>
    </row>
    <row r="265" ht="15.75" customHeight="1">
      <c r="F265" s="69"/>
      <c r="G265" s="60" t="str">
        <f>IF(NOT(ISBLANK(F265)),SUMIF(DETALHADO!D:D, F265,DETALHADO!C:C),"")</f>
        <v/>
      </c>
    </row>
    <row r="266" ht="15.75" customHeight="1">
      <c r="F266" s="69"/>
      <c r="G266" s="60" t="str">
        <f>IF(NOT(ISBLANK(F266)),SUMIF(DETALHADO!D:D, F266,DETALHADO!C:C),"")</f>
        <v/>
      </c>
    </row>
    <row r="267" ht="15.75" customHeight="1">
      <c r="F267" s="69"/>
      <c r="G267" s="60" t="str">
        <f>IF(NOT(ISBLANK(F267)),SUMIF(DETALHADO!D:D, F267,DETALHADO!C:C),"")</f>
        <v/>
      </c>
    </row>
    <row r="268" ht="15.75" customHeight="1">
      <c r="F268" s="69"/>
      <c r="G268" s="60" t="str">
        <f>IF(NOT(ISBLANK(F268)),SUMIF(DETALHADO!D:D, F268,DETALHADO!C:C),"")</f>
        <v/>
      </c>
    </row>
    <row r="269" ht="15.75" customHeight="1">
      <c r="F269" s="69"/>
      <c r="G269" s="60" t="str">
        <f>IF(NOT(ISBLANK(F269)),SUMIF(DETALHADO!D:D, F269,DETALHADO!C:C),"")</f>
        <v/>
      </c>
    </row>
    <row r="270" ht="15.75" customHeight="1">
      <c r="F270" s="69"/>
      <c r="G270" s="60" t="str">
        <f>IF(NOT(ISBLANK(F270)),SUMIF(DETALHADO!D:D, F270,DETALHADO!C:C),"")</f>
        <v/>
      </c>
    </row>
    <row r="271" ht="15.75" customHeight="1">
      <c r="F271" s="69"/>
      <c r="G271" s="60" t="str">
        <f>IF(NOT(ISBLANK(F271)),SUMIF(DETALHADO!D:D, F271,DETALHADO!C:C),"")</f>
        <v/>
      </c>
    </row>
    <row r="272" ht="15.75" customHeight="1">
      <c r="F272" s="69"/>
      <c r="G272" s="60" t="str">
        <f>IF(NOT(ISBLANK(F272)),SUMIF(DETALHADO!D:D, F272,DETALHADO!C:C),"")</f>
        <v/>
      </c>
    </row>
    <row r="273" ht="15.75" customHeight="1">
      <c r="F273" s="69"/>
      <c r="G273" s="60" t="str">
        <f>IF(NOT(ISBLANK(F273)),SUMIF(DETALHADO!D:D, F273,DETALHADO!C:C),"")</f>
        <v/>
      </c>
    </row>
    <row r="274" ht="15.75" customHeight="1">
      <c r="F274" s="69"/>
      <c r="G274" s="60" t="str">
        <f>IF(NOT(ISBLANK(F274)),SUMIF(DETALHADO!D:D, F274,DETALHADO!C:C),"")</f>
        <v/>
      </c>
    </row>
    <row r="275" ht="15.75" customHeight="1">
      <c r="F275" s="69"/>
      <c r="G275" s="60" t="str">
        <f>IF(NOT(ISBLANK(F275)),SUMIF(DETALHADO!D:D, F275,DETALHADO!C:C),"")</f>
        <v/>
      </c>
    </row>
    <row r="276" ht="15.75" customHeight="1">
      <c r="F276" s="69"/>
      <c r="G276" s="60" t="str">
        <f>IF(NOT(ISBLANK(F276)),SUMIF(DETALHADO!D:D, F276,DETALHADO!C:C),"")</f>
        <v/>
      </c>
    </row>
    <row r="277" ht="15.75" customHeight="1">
      <c r="F277" s="69"/>
      <c r="G277" s="60" t="str">
        <f>IF(NOT(ISBLANK(F277)),SUMIF(DETALHADO!D:D, F277,DETALHADO!C:C),"")</f>
        <v/>
      </c>
    </row>
    <row r="278" ht="15.75" customHeight="1">
      <c r="F278" s="69"/>
      <c r="G278" s="60" t="str">
        <f>IF(NOT(ISBLANK(F278)),SUMIF(DETALHADO!D:D, F278,DETALHADO!C:C),"")</f>
        <v/>
      </c>
    </row>
    <row r="279" ht="15.75" customHeight="1">
      <c r="F279" s="69"/>
      <c r="G279" s="60" t="str">
        <f>IF(NOT(ISBLANK(F279)),SUMIF(DETALHADO!D:D, F279,DETALHADO!C:C),"")</f>
        <v/>
      </c>
    </row>
    <row r="280" ht="15.75" customHeight="1">
      <c r="F280" s="69"/>
      <c r="G280" s="60" t="str">
        <f>IF(NOT(ISBLANK(F280)),SUMIF(DETALHADO!D:D, F280,DETALHADO!C:C),"")</f>
        <v/>
      </c>
    </row>
    <row r="281" ht="15.75" customHeight="1">
      <c r="F281" s="69"/>
      <c r="G281" s="60" t="str">
        <f>IF(NOT(ISBLANK(F281)),SUMIF(DETALHADO!D:D, F281,DETALHADO!C:C),"")</f>
        <v/>
      </c>
    </row>
    <row r="282" ht="15.75" customHeight="1">
      <c r="F282" s="69"/>
      <c r="G282" s="60" t="str">
        <f>IF(NOT(ISBLANK(F282)),SUMIF(DETALHADO!D:D, F282,DETALHADO!C:C),"")</f>
        <v/>
      </c>
    </row>
    <row r="283" ht="15.75" customHeight="1">
      <c r="F283" s="69"/>
      <c r="G283" s="60" t="str">
        <f>IF(NOT(ISBLANK(F283)),SUMIF(DETALHADO!D:D, F283,DETALHADO!C:C),"")</f>
        <v/>
      </c>
    </row>
    <row r="284" ht="15.75" customHeight="1">
      <c r="F284" s="69"/>
      <c r="G284" s="60" t="str">
        <f>IF(NOT(ISBLANK(F284)),SUMIF(DETALHADO!D:D, F284,DETALHADO!C:C),"")</f>
        <v/>
      </c>
    </row>
    <row r="285" ht="15.75" customHeight="1">
      <c r="F285" s="69"/>
      <c r="G285" s="60" t="str">
        <f>IF(NOT(ISBLANK(F285)),SUMIF(DETALHADO!D:D, F285,DETALHADO!C:C),"")</f>
        <v/>
      </c>
    </row>
    <row r="286" ht="15.75" customHeight="1">
      <c r="F286" s="69"/>
      <c r="G286" s="60" t="str">
        <f>IF(NOT(ISBLANK(F286)),SUMIF(DETALHADO!D:D, F286,DETALHADO!C:C),"")</f>
        <v/>
      </c>
    </row>
    <row r="287" ht="15.75" customHeight="1">
      <c r="F287" s="69"/>
      <c r="G287" s="60" t="str">
        <f>IF(NOT(ISBLANK(F287)),SUMIF(DETALHADO!D:D, F287,DETALHADO!C:C),"")</f>
        <v/>
      </c>
    </row>
    <row r="288" ht="15.75" customHeight="1">
      <c r="F288" s="69"/>
      <c r="G288" s="60" t="str">
        <f>IF(NOT(ISBLANK(F288)),SUMIF(DETALHADO!D:D, F288,DETALHADO!C:C),"")</f>
        <v/>
      </c>
    </row>
    <row r="289" ht="15.75" customHeight="1">
      <c r="F289" s="69"/>
      <c r="G289" s="60" t="str">
        <f>IF(NOT(ISBLANK(F289)),SUMIF(DETALHADO!D:D, F289,DETALHADO!C:C),"")</f>
        <v/>
      </c>
    </row>
    <row r="290" ht="15.75" customHeight="1">
      <c r="F290" s="69"/>
      <c r="G290" s="60" t="str">
        <f>IF(NOT(ISBLANK(F290)),SUMIF(DETALHADO!D:D, F290,DETALHADO!C:C),"")</f>
        <v/>
      </c>
    </row>
    <row r="291" ht="15.75" customHeight="1">
      <c r="F291" s="69"/>
      <c r="G291" s="60" t="str">
        <f>IF(NOT(ISBLANK(F291)),SUMIF(DETALHADO!D:D, F291,DETALHADO!C:C),"")</f>
        <v/>
      </c>
    </row>
    <row r="292" ht="15.75" customHeight="1">
      <c r="F292" s="69"/>
      <c r="G292" s="60" t="str">
        <f>IF(NOT(ISBLANK(F292)),SUMIF(DETALHADO!D:D, F292,DETALHADO!C:C),"")</f>
        <v/>
      </c>
    </row>
    <row r="293" ht="15.75" customHeight="1">
      <c r="F293" s="69"/>
      <c r="G293" s="60" t="str">
        <f>IF(NOT(ISBLANK(F293)),SUMIF(DETALHADO!D:D, F293,DETALHADO!C:C),"")</f>
        <v/>
      </c>
    </row>
    <row r="294" ht="15.75" customHeight="1">
      <c r="F294" s="69"/>
      <c r="G294" s="60" t="str">
        <f>IF(NOT(ISBLANK(F294)),SUMIF(DETALHADO!D:D, F294,DETALHADO!C:C),"")</f>
        <v/>
      </c>
    </row>
    <row r="295" ht="15.75" customHeight="1">
      <c r="F295" s="69"/>
      <c r="G295" s="60" t="str">
        <f>IF(NOT(ISBLANK(F295)),SUMIF(DETALHADO!D:D, F295,DETALHADO!C:C),"")</f>
        <v/>
      </c>
    </row>
    <row r="296" ht="15.75" customHeight="1">
      <c r="F296" s="69"/>
      <c r="G296" s="60" t="str">
        <f>IF(NOT(ISBLANK(F296)),SUMIF(DETALHADO!D:D, F296,DETALHADO!C:C),"")</f>
        <v/>
      </c>
    </row>
    <row r="297" ht="15.75" customHeight="1">
      <c r="F297" s="69"/>
      <c r="G297" s="60" t="str">
        <f>IF(NOT(ISBLANK(F297)),SUMIF(DETALHADO!D:D, F297,DETALHADO!C:C),"")</f>
        <v/>
      </c>
    </row>
    <row r="298" ht="15.75" customHeight="1">
      <c r="F298" s="69"/>
      <c r="G298" s="60" t="str">
        <f>IF(NOT(ISBLANK(F298)),SUMIF(DETALHADO!D:D, F298,DETALHADO!C:C),"")</f>
        <v/>
      </c>
    </row>
    <row r="299" ht="15.75" customHeight="1">
      <c r="F299" s="69"/>
      <c r="G299" s="60" t="str">
        <f>IF(NOT(ISBLANK(F299)),SUMIF(DETALHADO!D:D, F299,DETALHADO!C:C),"")</f>
        <v/>
      </c>
    </row>
    <row r="300" ht="15.75" customHeight="1">
      <c r="F300" s="69"/>
      <c r="G300" s="60" t="str">
        <f>IF(NOT(ISBLANK(F300)),SUMIF(DETALHADO!D:D, F300,DETALHADO!C:C),"")</f>
        <v/>
      </c>
    </row>
    <row r="301" ht="15.75" customHeight="1">
      <c r="F301" s="69"/>
      <c r="G301" s="60" t="str">
        <f>IF(NOT(ISBLANK(F301)),SUMIF(DETALHADO!D:D, F301,DETALHADO!C:C),"")</f>
        <v/>
      </c>
    </row>
    <row r="302" ht="15.75" customHeight="1">
      <c r="F302" s="69"/>
      <c r="G302" s="60" t="str">
        <f>IF(NOT(ISBLANK(F302)),SUMIF(DETALHADO!D:D, F302,DETALHADO!C:C),"")</f>
        <v/>
      </c>
    </row>
    <row r="303" ht="15.75" customHeight="1">
      <c r="F303" s="69"/>
      <c r="G303" s="60" t="str">
        <f>IF(NOT(ISBLANK(F303)),SUMIF(DETALHADO!D:D, F303,DETALHADO!C:C),"")</f>
        <v/>
      </c>
    </row>
    <row r="304" ht="15.75" customHeight="1">
      <c r="F304" s="69"/>
      <c r="G304" s="60" t="str">
        <f>IF(NOT(ISBLANK(F304)),SUMIF(DETALHADO!D:D, F304,DETALHADO!C:C),"")</f>
        <v/>
      </c>
    </row>
    <row r="305" ht="15.75" customHeight="1">
      <c r="F305" s="69"/>
      <c r="G305" s="60" t="str">
        <f>IF(NOT(ISBLANK(F305)),SUMIF(DETALHADO!D:D, F305,DETALHADO!C:C),"")</f>
        <v/>
      </c>
    </row>
    <row r="306" ht="15.75" customHeight="1">
      <c r="F306" s="69"/>
      <c r="G306" s="60" t="str">
        <f>IF(NOT(ISBLANK(F306)),SUMIF(DETALHADO!D:D, F306,DETALHADO!C:C),"")</f>
        <v/>
      </c>
    </row>
    <row r="307" ht="15.75" customHeight="1">
      <c r="F307" s="69"/>
      <c r="G307" s="60" t="str">
        <f>IF(NOT(ISBLANK(F307)),SUMIF(DETALHADO!D:D, F307,DETALHADO!C:C),"")</f>
        <v/>
      </c>
    </row>
    <row r="308" ht="15.75" customHeight="1">
      <c r="F308" s="69"/>
      <c r="G308" s="60" t="str">
        <f>IF(NOT(ISBLANK(F308)),SUMIF(DETALHADO!D:D, F308,DETALHADO!C:C),"")</f>
        <v/>
      </c>
    </row>
    <row r="309" ht="15.75" customHeight="1">
      <c r="F309" s="69"/>
      <c r="G309" s="60" t="str">
        <f>IF(NOT(ISBLANK(F309)),SUMIF(DETALHADO!D:D, F309,DETALHADO!C:C),"")</f>
        <v/>
      </c>
    </row>
    <row r="310" ht="15.75" customHeight="1">
      <c r="F310" s="69"/>
      <c r="G310" s="60" t="str">
        <f>IF(NOT(ISBLANK(F310)),SUMIF(DETALHADO!D:D, F310,DETALHADO!C:C),"")</f>
        <v/>
      </c>
    </row>
    <row r="311" ht="15.75" customHeight="1">
      <c r="F311" s="69"/>
      <c r="G311" s="60" t="str">
        <f>IF(NOT(ISBLANK(F311)),SUMIF(DETALHADO!D:D, F311,DETALHADO!C:C),"")</f>
        <v/>
      </c>
    </row>
    <row r="312" ht="15.75" customHeight="1">
      <c r="F312" s="69"/>
      <c r="G312" s="60" t="str">
        <f>IF(NOT(ISBLANK(F312)),SUMIF(DETALHADO!D:D, F312,DETALHADO!C:C),"")</f>
        <v/>
      </c>
    </row>
    <row r="313" ht="15.75" customHeight="1">
      <c r="F313" s="69"/>
      <c r="G313" s="60" t="str">
        <f>IF(NOT(ISBLANK(F313)),SUMIF(DETALHADO!D:D, F313,DETALHADO!C:C),"")</f>
        <v/>
      </c>
    </row>
    <row r="314" ht="15.75" customHeight="1">
      <c r="F314" s="69"/>
      <c r="G314" s="60" t="str">
        <f>IF(NOT(ISBLANK(F314)),SUMIF(DETALHADO!D:D, F314,DETALHADO!C:C),"")</f>
        <v/>
      </c>
    </row>
    <row r="315" ht="15.75" customHeight="1">
      <c r="F315" s="69"/>
      <c r="G315" s="60" t="str">
        <f>IF(NOT(ISBLANK(F315)),SUMIF(DETALHADO!D:D, F315,DETALHADO!C:C),"")</f>
        <v/>
      </c>
    </row>
    <row r="316" ht="15.75" customHeight="1">
      <c r="F316" s="69"/>
      <c r="G316" s="60" t="str">
        <f>IF(NOT(ISBLANK(F316)),SUMIF(DETALHADO!D:D, F316,DETALHADO!C:C),"")</f>
        <v/>
      </c>
    </row>
    <row r="317" ht="15.75" customHeight="1">
      <c r="F317" s="69"/>
      <c r="G317" s="60" t="str">
        <f>IF(NOT(ISBLANK(F317)),SUMIF(DETALHADO!D:D, F317,DETALHADO!C:C),"")</f>
        <v/>
      </c>
    </row>
    <row r="318" ht="15.75" customHeight="1">
      <c r="F318" s="69"/>
      <c r="G318" s="60" t="str">
        <f>IF(NOT(ISBLANK(F318)),SUMIF(DETALHADO!D:D, F318,DETALHADO!C:C),"")</f>
        <v/>
      </c>
    </row>
    <row r="319" ht="15.75" customHeight="1">
      <c r="F319" s="69"/>
      <c r="G319" s="60" t="str">
        <f>IF(NOT(ISBLANK(F319)),SUMIF(DETALHADO!D:D, F319,DETALHADO!C:C),"")</f>
        <v/>
      </c>
    </row>
    <row r="320" ht="15.75" customHeight="1">
      <c r="F320" s="69"/>
      <c r="G320" s="60" t="str">
        <f>IF(NOT(ISBLANK(F320)),SUMIF(DETALHADO!D:D, F320,DETALHADO!C:C),"")</f>
        <v/>
      </c>
    </row>
    <row r="321" ht="15.75" customHeight="1">
      <c r="F321" s="69"/>
      <c r="G321" s="60" t="str">
        <f>IF(NOT(ISBLANK(F321)),SUMIF(DETALHADO!D:D, F321,DETALHADO!C:C),"")</f>
        <v/>
      </c>
    </row>
    <row r="322" ht="15.75" customHeight="1">
      <c r="F322" s="69"/>
      <c r="G322" s="60" t="str">
        <f>IF(NOT(ISBLANK(F322)),SUMIF(DETALHADO!D:D, F322,DETALHADO!C:C),"")</f>
        <v/>
      </c>
    </row>
    <row r="323" ht="15.75" customHeight="1">
      <c r="F323" s="69"/>
      <c r="G323" s="60" t="str">
        <f>IF(NOT(ISBLANK(F323)),SUMIF(DETALHADO!D:D, F323,DETALHADO!C:C),"")</f>
        <v/>
      </c>
    </row>
    <row r="324" ht="15.75" customHeight="1">
      <c r="F324" s="69"/>
      <c r="G324" s="60" t="str">
        <f>IF(NOT(ISBLANK(F324)),SUMIF(DETALHADO!D:D, F324,DETALHADO!C:C),"")</f>
        <v/>
      </c>
    </row>
    <row r="325" ht="15.75" customHeight="1">
      <c r="F325" s="69"/>
      <c r="G325" s="60" t="str">
        <f>IF(NOT(ISBLANK(F325)),SUMIF(DETALHADO!D:D, F325,DETALHADO!C:C),"")</f>
        <v/>
      </c>
    </row>
    <row r="326" ht="15.75" customHeight="1">
      <c r="F326" s="69"/>
      <c r="G326" s="60" t="str">
        <f>IF(NOT(ISBLANK(F326)),SUMIF(DETALHADO!D:D, F326,DETALHADO!C:C),"")</f>
        <v/>
      </c>
    </row>
    <row r="327" ht="15.75" customHeight="1">
      <c r="F327" s="69"/>
      <c r="G327" s="60" t="str">
        <f>IF(NOT(ISBLANK(F327)),SUMIF(DETALHADO!D:D, F327,DETALHADO!C:C),"")</f>
        <v/>
      </c>
    </row>
    <row r="328" ht="15.75" customHeight="1">
      <c r="F328" s="69"/>
      <c r="G328" s="60" t="str">
        <f>IF(NOT(ISBLANK(F328)),SUMIF(DETALHADO!D:D, F328,DETALHADO!C:C),"")</f>
        <v/>
      </c>
    </row>
    <row r="329" ht="15.75" customHeight="1">
      <c r="F329" s="69"/>
      <c r="G329" s="60" t="str">
        <f>IF(NOT(ISBLANK(F329)),SUMIF(DETALHADO!D:D, F329,DETALHADO!C:C),"")</f>
        <v/>
      </c>
    </row>
    <row r="330" ht="15.75" customHeight="1">
      <c r="F330" s="69"/>
      <c r="G330" s="60" t="str">
        <f>IF(NOT(ISBLANK(F330)),SUMIF(DETALHADO!D:D, F330,DETALHADO!C:C),"")</f>
        <v/>
      </c>
    </row>
    <row r="331" ht="15.75" customHeight="1">
      <c r="F331" s="69"/>
      <c r="G331" s="60" t="str">
        <f>IF(NOT(ISBLANK(F331)),SUMIF(DETALHADO!D:D, F331,DETALHADO!C:C),"")</f>
        <v/>
      </c>
    </row>
    <row r="332" ht="15.75" customHeight="1">
      <c r="F332" s="69"/>
      <c r="G332" s="60" t="str">
        <f>IF(NOT(ISBLANK(F332)),SUMIF(DETALHADO!D:D, F332,DETALHADO!C:C),"")</f>
        <v/>
      </c>
    </row>
    <row r="333" ht="15.75" customHeight="1">
      <c r="F333" s="69"/>
      <c r="G333" s="60" t="str">
        <f>IF(NOT(ISBLANK(F333)),SUMIF(DETALHADO!D:D, F333,DETALHADO!C:C),"")</f>
        <v/>
      </c>
    </row>
    <row r="334" ht="15.75" customHeight="1">
      <c r="F334" s="69"/>
      <c r="G334" s="60" t="str">
        <f>IF(NOT(ISBLANK(F334)),SUMIF(DETALHADO!D:D, F334,DETALHADO!C:C),"")</f>
        <v/>
      </c>
    </row>
    <row r="335" ht="15.75" customHeight="1">
      <c r="F335" s="69"/>
      <c r="G335" s="60" t="str">
        <f>IF(NOT(ISBLANK(F335)),SUMIF(DETALHADO!D:D, F335,DETALHADO!C:C),"")</f>
        <v/>
      </c>
    </row>
    <row r="336" ht="15.75" customHeight="1">
      <c r="F336" s="69"/>
      <c r="G336" s="60" t="str">
        <f>IF(NOT(ISBLANK(F336)),SUMIF(DETALHADO!D:D, F336,DETALHADO!C:C),"")</f>
        <v/>
      </c>
    </row>
    <row r="337" ht="15.75" customHeight="1">
      <c r="F337" s="69"/>
      <c r="G337" s="60" t="str">
        <f>IF(NOT(ISBLANK(F337)),SUMIF(DETALHADO!D:D, F337,DETALHADO!C:C),"")</f>
        <v/>
      </c>
    </row>
    <row r="338" ht="15.75" customHeight="1">
      <c r="F338" s="69"/>
      <c r="G338" s="60" t="str">
        <f>IF(NOT(ISBLANK(F338)),SUMIF(DETALHADO!D:D, F338,DETALHADO!C:C),"")</f>
        <v/>
      </c>
    </row>
    <row r="339" ht="15.75" customHeight="1">
      <c r="F339" s="69"/>
      <c r="G339" s="60" t="str">
        <f>IF(NOT(ISBLANK(F339)),SUMIF(DETALHADO!D:D, F339,DETALHADO!C:C),"")</f>
        <v/>
      </c>
    </row>
    <row r="340" ht="15.75" customHeight="1">
      <c r="F340" s="69"/>
      <c r="G340" s="60" t="str">
        <f>IF(NOT(ISBLANK(F340)),SUMIF(DETALHADO!D:D, F340,DETALHADO!C:C),"")</f>
        <v/>
      </c>
    </row>
    <row r="341" ht="15.75" customHeight="1">
      <c r="F341" s="69"/>
      <c r="G341" s="60" t="str">
        <f>IF(NOT(ISBLANK(F341)),SUMIF(DETALHADO!D:D, F341,DETALHADO!C:C),"")</f>
        <v/>
      </c>
    </row>
    <row r="342" ht="15.75" customHeight="1">
      <c r="F342" s="69"/>
      <c r="G342" s="60" t="str">
        <f>IF(NOT(ISBLANK(F342)),SUMIF(DETALHADO!D:D, F342,DETALHADO!C:C),"")</f>
        <v/>
      </c>
    </row>
    <row r="343" ht="15.75" customHeight="1">
      <c r="F343" s="69"/>
      <c r="G343" s="60" t="str">
        <f>IF(NOT(ISBLANK(F343)),SUMIF(DETALHADO!D:D, F343,DETALHADO!C:C),"")</f>
        <v/>
      </c>
    </row>
    <row r="344" ht="15.75" customHeight="1">
      <c r="F344" s="69"/>
      <c r="G344" s="60" t="str">
        <f>IF(NOT(ISBLANK(F344)),SUMIF(DETALHADO!D:D, F344,DETALHADO!C:C),"")</f>
        <v/>
      </c>
    </row>
    <row r="345" ht="15.75" customHeight="1">
      <c r="F345" s="69"/>
      <c r="G345" s="60" t="str">
        <f>IF(NOT(ISBLANK(F345)),SUMIF(DETALHADO!D:D, F345,DETALHADO!C:C),"")</f>
        <v/>
      </c>
    </row>
    <row r="346" ht="15.75" customHeight="1">
      <c r="F346" s="69"/>
      <c r="G346" s="60" t="str">
        <f>IF(NOT(ISBLANK(F346)),SUMIF(DETALHADO!D:D, F346,DETALHADO!C:C),"")</f>
        <v/>
      </c>
    </row>
    <row r="347" ht="15.75" customHeight="1">
      <c r="F347" s="69"/>
      <c r="G347" s="60" t="str">
        <f>IF(NOT(ISBLANK(F347)),SUMIF(DETALHADO!D:D, F347,DETALHADO!C:C),"")</f>
        <v/>
      </c>
    </row>
    <row r="348" ht="15.75" customHeight="1">
      <c r="F348" s="69"/>
      <c r="G348" s="60" t="str">
        <f>IF(NOT(ISBLANK(F348)),SUMIF(DETALHADO!D:D, F348,DETALHADO!C:C),"")</f>
        <v/>
      </c>
    </row>
    <row r="349" ht="15.75" customHeight="1">
      <c r="F349" s="69"/>
      <c r="G349" s="60" t="str">
        <f>IF(NOT(ISBLANK(F349)),SUMIF(DETALHADO!D:D, F349,DETALHADO!C:C),"")</f>
        <v/>
      </c>
    </row>
    <row r="350" ht="15.75" customHeight="1">
      <c r="F350" s="69"/>
      <c r="G350" s="60" t="str">
        <f>IF(NOT(ISBLANK(F350)),SUMIF(DETALHADO!D:D, F350,DETALHADO!C:C),"")</f>
        <v/>
      </c>
    </row>
    <row r="351" ht="15.75" customHeight="1">
      <c r="F351" s="69"/>
      <c r="G351" s="60" t="str">
        <f>IF(NOT(ISBLANK(F351)),SUMIF(DETALHADO!D:D, F351,DETALHADO!C:C),"")</f>
        <v/>
      </c>
    </row>
    <row r="352" ht="15.75" customHeight="1">
      <c r="F352" s="69"/>
      <c r="G352" s="60" t="str">
        <f>IF(NOT(ISBLANK(F352)),SUMIF(DETALHADO!D:D, F352,DETALHADO!C:C),"")</f>
        <v/>
      </c>
    </row>
    <row r="353" ht="15.75" customHeight="1">
      <c r="F353" s="69"/>
      <c r="G353" s="60" t="str">
        <f>IF(NOT(ISBLANK(F353)),SUMIF(DETALHADO!D:D, F353,DETALHADO!C:C),"")</f>
        <v/>
      </c>
    </row>
    <row r="354" ht="15.75" customHeight="1">
      <c r="F354" s="69"/>
      <c r="G354" s="60" t="str">
        <f>IF(NOT(ISBLANK(F354)),SUMIF(DETALHADO!D:D, F354,DETALHADO!C:C),"")</f>
        <v/>
      </c>
    </row>
    <row r="355" ht="15.75" customHeight="1">
      <c r="F355" s="69"/>
      <c r="G355" s="60" t="str">
        <f>IF(NOT(ISBLANK(F355)),SUMIF(DETALHADO!D:D, F355,DETALHADO!C:C),"")</f>
        <v/>
      </c>
    </row>
    <row r="356" ht="15.75" customHeight="1">
      <c r="F356" s="69"/>
      <c r="G356" s="60" t="str">
        <f>IF(NOT(ISBLANK(F356)),SUMIF(DETALHADO!D:D, F356,DETALHADO!C:C),"")</f>
        <v/>
      </c>
    </row>
    <row r="357" ht="15.75" customHeight="1">
      <c r="F357" s="69"/>
      <c r="G357" s="60" t="str">
        <f>IF(NOT(ISBLANK(F357)),SUMIF(DETALHADO!D:D, F357,DETALHADO!C:C),"")</f>
        <v/>
      </c>
    </row>
    <row r="358" ht="15.75" customHeight="1">
      <c r="F358" s="69"/>
      <c r="G358" s="60" t="str">
        <f>IF(NOT(ISBLANK(F358)),SUMIF(DETALHADO!D:D, F358,DETALHADO!C:C),"")</f>
        <v/>
      </c>
    </row>
    <row r="359" ht="15.75" customHeight="1">
      <c r="F359" s="69"/>
      <c r="G359" s="60" t="str">
        <f>IF(NOT(ISBLANK(F359)),SUMIF(DETALHADO!D:D, F359,DETALHADO!C:C),"")</f>
        <v/>
      </c>
    </row>
    <row r="360" ht="15.75" customHeight="1">
      <c r="F360" s="69"/>
      <c r="G360" s="60" t="str">
        <f>IF(NOT(ISBLANK(F360)),SUMIF(DETALHADO!D:D, F360,DETALHADO!C:C),"")</f>
        <v/>
      </c>
    </row>
    <row r="361" ht="15.75" customHeight="1">
      <c r="F361" s="69"/>
      <c r="G361" s="60" t="str">
        <f>IF(NOT(ISBLANK(F361)),SUMIF(DETALHADO!D:D, F361,DETALHADO!C:C),"")</f>
        <v/>
      </c>
    </row>
    <row r="362" ht="15.75" customHeight="1">
      <c r="F362" s="69"/>
      <c r="G362" s="60" t="str">
        <f>IF(NOT(ISBLANK(F362)),SUMIF(DETALHADO!D:D, F362,DETALHADO!C:C),"")</f>
        <v/>
      </c>
    </row>
    <row r="363" ht="15.75" customHeight="1">
      <c r="F363" s="69"/>
      <c r="G363" s="60" t="str">
        <f>IF(NOT(ISBLANK(F363)),SUMIF(DETALHADO!D:D, F363,DETALHADO!C:C),"")</f>
        <v/>
      </c>
    </row>
    <row r="364" ht="15.75" customHeight="1">
      <c r="F364" s="69"/>
      <c r="G364" s="60" t="str">
        <f>IF(NOT(ISBLANK(F364)),SUMIF(DETALHADO!D:D, F364,DETALHADO!C:C),"")</f>
        <v/>
      </c>
    </row>
    <row r="365" ht="15.75" customHeight="1">
      <c r="F365" s="69"/>
      <c r="G365" s="60" t="str">
        <f>IF(NOT(ISBLANK(F365)),SUMIF(DETALHADO!D:D, F365,DETALHADO!C:C),"")</f>
        <v/>
      </c>
    </row>
    <row r="366" ht="15.75" customHeight="1">
      <c r="F366" s="69"/>
      <c r="G366" s="60" t="str">
        <f>IF(NOT(ISBLANK(F366)),SUMIF(DETALHADO!D:D, F366,DETALHADO!C:C),"")</f>
        <v/>
      </c>
    </row>
    <row r="367" ht="15.75" customHeight="1">
      <c r="F367" s="69"/>
      <c r="G367" s="60" t="str">
        <f>IF(NOT(ISBLANK(F367)),SUMIF(DETALHADO!D:D, F367,DETALHADO!C:C),"")</f>
        <v/>
      </c>
    </row>
    <row r="368" ht="15.75" customHeight="1">
      <c r="F368" s="69"/>
      <c r="G368" s="60" t="str">
        <f>IF(NOT(ISBLANK(F368)),SUMIF(DETALHADO!D:D, F368,DETALHADO!C:C),"")</f>
        <v/>
      </c>
    </row>
    <row r="369" ht="15.75" customHeight="1">
      <c r="F369" s="69"/>
      <c r="G369" s="60" t="str">
        <f>IF(NOT(ISBLANK(F369)),SUMIF(DETALHADO!D:D, F369,DETALHADO!C:C),"")</f>
        <v/>
      </c>
    </row>
    <row r="370" ht="15.75" customHeight="1">
      <c r="F370" s="69"/>
      <c r="G370" s="60" t="str">
        <f>IF(NOT(ISBLANK(F370)),SUMIF(DETALHADO!D:D, F370,DETALHADO!C:C),"")</f>
        <v/>
      </c>
    </row>
    <row r="371" ht="15.75" customHeight="1">
      <c r="F371" s="69"/>
      <c r="G371" s="60" t="str">
        <f>IF(NOT(ISBLANK(F371)),SUMIF(DETALHADO!D:D, F371,DETALHADO!C:C),"")</f>
        <v/>
      </c>
    </row>
    <row r="372" ht="15.75" customHeight="1">
      <c r="F372" s="69"/>
      <c r="G372" s="60" t="str">
        <f>IF(NOT(ISBLANK(F372)),SUMIF(DETALHADO!D:D, F372,DETALHADO!C:C),"")</f>
        <v/>
      </c>
    </row>
    <row r="373" ht="15.75" customHeight="1">
      <c r="F373" s="69"/>
      <c r="G373" s="60" t="str">
        <f>IF(NOT(ISBLANK(F373)),SUMIF(DETALHADO!D:D, F373,DETALHADO!C:C),"")</f>
        <v/>
      </c>
    </row>
    <row r="374" ht="15.75" customHeight="1">
      <c r="F374" s="69"/>
      <c r="G374" s="60" t="str">
        <f>IF(NOT(ISBLANK(F374)),SUMIF(DETALHADO!D:D, F374,DETALHADO!C:C),"")</f>
        <v/>
      </c>
    </row>
    <row r="375" ht="15.75" customHeight="1">
      <c r="F375" s="69"/>
      <c r="G375" s="60" t="str">
        <f>IF(NOT(ISBLANK(F375)),SUMIF(DETALHADO!D:D, F375,DETALHADO!C:C),"")</f>
        <v/>
      </c>
    </row>
    <row r="376" ht="15.75" customHeight="1">
      <c r="F376" s="69"/>
      <c r="G376" s="60" t="str">
        <f>IF(NOT(ISBLANK(F376)),SUMIF(DETALHADO!D:D, F376,DETALHADO!C:C),"")</f>
        <v/>
      </c>
    </row>
    <row r="377" ht="15.75" customHeight="1">
      <c r="F377" s="69"/>
      <c r="G377" s="60" t="str">
        <f>IF(NOT(ISBLANK(F377)),SUMIF(DETALHADO!D:D, F377,DETALHADO!C:C),"")</f>
        <v/>
      </c>
    </row>
    <row r="378" ht="15.75" customHeight="1">
      <c r="F378" s="69"/>
      <c r="G378" s="60" t="str">
        <f>IF(NOT(ISBLANK(F378)),SUMIF(DETALHADO!D:D, F378,DETALHADO!C:C),"")</f>
        <v/>
      </c>
    </row>
    <row r="379" ht="15.75" customHeight="1">
      <c r="F379" s="69"/>
      <c r="G379" s="60" t="str">
        <f>IF(NOT(ISBLANK(F379)),SUMIF(DETALHADO!D:D, F379,DETALHADO!C:C),"")</f>
        <v/>
      </c>
    </row>
    <row r="380" ht="15.75" customHeight="1">
      <c r="F380" s="69"/>
      <c r="G380" s="60" t="str">
        <f>IF(NOT(ISBLANK(F380)),SUMIF(DETALHADO!D:D, F380,DETALHADO!C:C),"")</f>
        <v/>
      </c>
    </row>
    <row r="381" ht="15.75" customHeight="1">
      <c r="F381" s="69"/>
      <c r="G381" s="60" t="str">
        <f>IF(NOT(ISBLANK(F381)),SUMIF(DETALHADO!D:D, F381,DETALHADO!C:C),"")</f>
        <v/>
      </c>
    </row>
    <row r="382" ht="15.75" customHeight="1">
      <c r="F382" s="69"/>
      <c r="G382" s="60" t="str">
        <f>IF(NOT(ISBLANK(F382)),SUMIF(DETALHADO!D:D, F382,DETALHADO!C:C),"")</f>
        <v/>
      </c>
    </row>
    <row r="383" ht="15.75" customHeight="1">
      <c r="F383" s="69"/>
      <c r="G383" s="60" t="str">
        <f>IF(NOT(ISBLANK(F383)),SUMIF(DETALHADO!D:D, F383,DETALHADO!C:C),"")</f>
        <v/>
      </c>
    </row>
    <row r="384" ht="15.75" customHeight="1">
      <c r="F384" s="69"/>
      <c r="G384" s="60" t="str">
        <f>IF(NOT(ISBLANK(F384)),SUMIF(DETALHADO!D:D, F384,DETALHADO!C:C),"")</f>
        <v/>
      </c>
    </row>
    <row r="385" ht="15.75" customHeight="1">
      <c r="F385" s="69"/>
      <c r="G385" s="60" t="str">
        <f>IF(NOT(ISBLANK(F385)),SUMIF(DETALHADO!D:D, F385,DETALHADO!C:C),"")</f>
        <v/>
      </c>
    </row>
    <row r="386" ht="15.75" customHeight="1">
      <c r="F386" s="69"/>
      <c r="G386" s="60" t="str">
        <f>IF(NOT(ISBLANK(F386)),SUMIF(DETALHADO!D:D, F386,DETALHADO!C:C),"")</f>
        <v/>
      </c>
    </row>
    <row r="387" ht="15.75" customHeight="1">
      <c r="F387" s="69"/>
      <c r="G387" s="60" t="str">
        <f>IF(NOT(ISBLANK(F387)),SUMIF(DETALHADO!D:D, F387,DETALHADO!C:C),"")</f>
        <v/>
      </c>
    </row>
    <row r="388" ht="15.75" customHeight="1">
      <c r="F388" s="69"/>
      <c r="G388" s="60" t="str">
        <f>IF(NOT(ISBLANK(F388)),SUMIF(DETALHADO!D:D, F388,DETALHADO!C:C),"")</f>
        <v/>
      </c>
    </row>
    <row r="389" ht="15.75" customHeight="1">
      <c r="F389" s="69"/>
      <c r="G389" s="60" t="str">
        <f>IF(NOT(ISBLANK(F389)),SUMIF(DETALHADO!D:D, F389,DETALHADO!C:C),"")</f>
        <v/>
      </c>
    </row>
    <row r="390" ht="15.75" customHeight="1">
      <c r="F390" s="69"/>
      <c r="G390" s="60" t="str">
        <f>IF(NOT(ISBLANK(F390)),SUMIF(DETALHADO!D:D, F390,DETALHADO!C:C),"")</f>
        <v/>
      </c>
    </row>
    <row r="391" ht="15.75" customHeight="1">
      <c r="F391" s="69"/>
      <c r="G391" s="60" t="str">
        <f>IF(NOT(ISBLANK(F391)),SUMIF(DETALHADO!D:D, F391,DETALHADO!C:C),"")</f>
        <v/>
      </c>
    </row>
    <row r="392" ht="15.75" customHeight="1">
      <c r="F392" s="69"/>
      <c r="G392" s="60" t="str">
        <f>IF(NOT(ISBLANK(F392)),SUMIF(DETALHADO!D:D, F392,DETALHADO!C:C),"")</f>
        <v/>
      </c>
    </row>
    <row r="393" ht="15.75" customHeight="1">
      <c r="F393" s="69"/>
      <c r="G393" s="60" t="str">
        <f>IF(NOT(ISBLANK(F393)),SUMIF(DETALHADO!D:D, F393,DETALHADO!C:C),"")</f>
        <v/>
      </c>
    </row>
    <row r="394" ht="15.75" customHeight="1">
      <c r="F394" s="69"/>
      <c r="G394" s="60" t="str">
        <f>IF(NOT(ISBLANK(F394)),SUMIF(DETALHADO!D:D, F394,DETALHADO!C:C),"")</f>
        <v/>
      </c>
    </row>
    <row r="395" ht="15.75" customHeight="1">
      <c r="F395" s="69"/>
      <c r="G395" s="60" t="str">
        <f>IF(NOT(ISBLANK(F395)),SUMIF(DETALHADO!D:D, F395,DETALHADO!C:C),"")</f>
        <v/>
      </c>
    </row>
    <row r="396" ht="15.75" customHeight="1">
      <c r="F396" s="69"/>
      <c r="G396" s="60" t="str">
        <f>IF(NOT(ISBLANK(F396)),SUMIF(DETALHADO!D:D, F396,DETALHADO!C:C),"")</f>
        <v/>
      </c>
    </row>
    <row r="397" ht="15.75" customHeight="1">
      <c r="F397" s="69"/>
      <c r="G397" s="60" t="str">
        <f>IF(NOT(ISBLANK(F397)),SUMIF(DETALHADO!D:D, F397,DETALHADO!C:C),"")</f>
        <v/>
      </c>
    </row>
    <row r="398" ht="15.75" customHeight="1">
      <c r="F398" s="69"/>
      <c r="G398" s="60" t="str">
        <f>IF(NOT(ISBLANK(F398)),SUMIF(DETALHADO!D:D, F398,DETALHADO!C:C),"")</f>
        <v/>
      </c>
    </row>
    <row r="399" ht="15.75" customHeight="1">
      <c r="F399" s="69"/>
      <c r="G399" s="60" t="str">
        <f>IF(NOT(ISBLANK(F399)),SUMIF(DETALHADO!D:D, F399,DETALHADO!C:C),"")</f>
        <v/>
      </c>
    </row>
    <row r="400" ht="15.75" customHeight="1">
      <c r="F400" s="69"/>
      <c r="G400" s="60" t="str">
        <f>IF(NOT(ISBLANK(F400)),SUMIF(DETALHADO!D:D, F400,DETALHADO!C:C),"")</f>
        <v/>
      </c>
    </row>
    <row r="401" ht="15.75" customHeight="1">
      <c r="F401" s="69"/>
      <c r="G401" s="60" t="str">
        <f>IF(NOT(ISBLANK(F401)),SUMIF(DETALHADO!D:D, F401,DETALHADO!C:C),"")</f>
        <v/>
      </c>
    </row>
    <row r="402" ht="15.75" customHeight="1">
      <c r="F402" s="69"/>
      <c r="G402" s="60" t="str">
        <f>IF(NOT(ISBLANK(F402)),SUMIF(DETALHADO!D:D, F402,DETALHADO!C:C),"")</f>
        <v/>
      </c>
    </row>
    <row r="403" ht="15.75" customHeight="1">
      <c r="F403" s="69"/>
      <c r="G403" s="60" t="str">
        <f>IF(NOT(ISBLANK(F403)),SUMIF(DETALHADO!D:D, F403,DETALHADO!C:C),"")</f>
        <v/>
      </c>
    </row>
    <row r="404" ht="15.75" customHeight="1">
      <c r="F404" s="69"/>
      <c r="G404" s="60" t="str">
        <f>IF(NOT(ISBLANK(F404)),SUMIF(DETALHADO!D:D, F404,DETALHADO!C:C),"")</f>
        <v/>
      </c>
    </row>
    <row r="405" ht="15.75" customHeight="1">
      <c r="F405" s="69"/>
      <c r="G405" s="60" t="str">
        <f>IF(NOT(ISBLANK(F405)),SUMIF(DETALHADO!D:D, F405,DETALHADO!C:C),"")</f>
        <v/>
      </c>
    </row>
    <row r="406" ht="15.75" customHeight="1">
      <c r="F406" s="69"/>
      <c r="G406" s="60" t="str">
        <f>IF(NOT(ISBLANK(F406)),SUMIF(DETALHADO!D:D, F406,DETALHADO!C:C),"")</f>
        <v/>
      </c>
    </row>
    <row r="407" ht="15.75" customHeight="1">
      <c r="F407" s="69"/>
      <c r="G407" s="60" t="str">
        <f>IF(NOT(ISBLANK(F407)),SUMIF(DETALHADO!D:D, F407,DETALHADO!C:C),"")</f>
        <v/>
      </c>
    </row>
    <row r="408" ht="15.75" customHeight="1">
      <c r="F408" s="69"/>
      <c r="G408" s="60" t="str">
        <f>IF(NOT(ISBLANK(F408)),SUMIF(DETALHADO!D:D, F408,DETALHADO!C:C),"")</f>
        <v/>
      </c>
    </row>
    <row r="409" ht="15.75" customHeight="1">
      <c r="F409" s="69"/>
      <c r="G409" s="60" t="str">
        <f>IF(NOT(ISBLANK(F409)),SUMIF(DETALHADO!D:D, F409,DETALHADO!C:C),"")</f>
        <v/>
      </c>
    </row>
    <row r="410" ht="15.75" customHeight="1">
      <c r="F410" s="69"/>
      <c r="G410" s="60" t="str">
        <f>IF(NOT(ISBLANK(F410)),SUMIF(DETALHADO!D:D, F410,DETALHADO!C:C),"")</f>
        <v/>
      </c>
    </row>
    <row r="411" ht="15.75" customHeight="1">
      <c r="F411" s="69"/>
      <c r="G411" s="60" t="str">
        <f>IF(NOT(ISBLANK(F411)),SUMIF(DETALHADO!D:D, F411,DETALHADO!C:C),"")</f>
        <v/>
      </c>
    </row>
    <row r="412" ht="15.75" customHeight="1">
      <c r="F412" s="69"/>
      <c r="G412" s="60" t="str">
        <f>IF(NOT(ISBLANK(F412)),SUMIF(DETALHADO!D:D, F412,DETALHADO!C:C),"")</f>
        <v/>
      </c>
    </row>
    <row r="413" ht="15.75" customHeight="1">
      <c r="F413" s="69"/>
      <c r="G413" s="60" t="str">
        <f>IF(NOT(ISBLANK(F413)),SUMIF(DETALHADO!D:D, F413,DETALHADO!C:C),"")</f>
        <v/>
      </c>
    </row>
    <row r="414" ht="15.75" customHeight="1">
      <c r="F414" s="69"/>
      <c r="G414" s="60" t="str">
        <f>IF(NOT(ISBLANK(F414)),SUMIF(DETALHADO!D:D, F414,DETALHADO!C:C),"")</f>
        <v/>
      </c>
    </row>
    <row r="415" ht="15.75" customHeight="1">
      <c r="F415" s="69"/>
      <c r="G415" s="60" t="str">
        <f>IF(NOT(ISBLANK(F415)),SUMIF(DETALHADO!D:D, F415,DETALHADO!C:C),"")</f>
        <v/>
      </c>
    </row>
    <row r="416" ht="15.75" customHeight="1">
      <c r="F416" s="69"/>
      <c r="G416" s="60" t="str">
        <f>IF(NOT(ISBLANK(F416)),SUMIF(DETALHADO!D:D, F416,DETALHADO!C:C),"")</f>
        <v/>
      </c>
    </row>
    <row r="417" ht="15.75" customHeight="1">
      <c r="F417" s="69"/>
      <c r="G417" s="60" t="str">
        <f>IF(NOT(ISBLANK(F417)),SUMIF(DETALHADO!D:D, F417,DETALHADO!C:C),"")</f>
        <v/>
      </c>
    </row>
    <row r="418" ht="15.75" customHeight="1">
      <c r="F418" s="69"/>
      <c r="G418" s="60" t="str">
        <f>IF(NOT(ISBLANK(F418)),SUMIF(DETALHADO!D:D, F418,DETALHADO!C:C),"")</f>
        <v/>
      </c>
    </row>
    <row r="419" ht="15.75" customHeight="1">
      <c r="F419" s="69"/>
      <c r="G419" s="60" t="str">
        <f>IF(NOT(ISBLANK(F419)),SUMIF(DETALHADO!D:D, F419,DETALHADO!C:C),"")</f>
        <v/>
      </c>
    </row>
    <row r="420" ht="15.75" customHeight="1">
      <c r="F420" s="69"/>
      <c r="G420" s="60" t="str">
        <f>IF(NOT(ISBLANK(F420)),SUMIF(DETALHADO!D:D, F420,DETALHADO!C:C),"")</f>
        <v/>
      </c>
    </row>
    <row r="421" ht="15.75" customHeight="1">
      <c r="F421" s="69"/>
      <c r="G421" s="60" t="str">
        <f>IF(NOT(ISBLANK(F421)),SUMIF(DETALHADO!D:D, F421,DETALHADO!C:C),"")</f>
        <v/>
      </c>
    </row>
    <row r="422" ht="15.75" customHeight="1">
      <c r="F422" s="69"/>
      <c r="G422" s="60" t="str">
        <f>IF(NOT(ISBLANK(F422)),SUMIF(DETALHADO!D:D, F422,DETALHADO!C:C),"")</f>
        <v/>
      </c>
    </row>
    <row r="423" ht="15.75" customHeight="1">
      <c r="F423" s="69"/>
      <c r="G423" s="60" t="str">
        <f>IF(NOT(ISBLANK(F423)),SUMIF(DETALHADO!D:D, F423,DETALHADO!C:C),"")</f>
        <v/>
      </c>
    </row>
    <row r="424" ht="15.75" customHeight="1">
      <c r="F424" s="69"/>
      <c r="G424" s="60" t="str">
        <f>IF(NOT(ISBLANK(F424)),SUMIF(DETALHADO!D:D, F424,DETALHADO!C:C),"")</f>
        <v/>
      </c>
    </row>
    <row r="425" ht="15.75" customHeight="1">
      <c r="F425" s="69"/>
      <c r="G425" s="60" t="str">
        <f>IF(NOT(ISBLANK(F425)),SUMIF(DETALHADO!D:D, F425,DETALHADO!C:C),"")</f>
        <v/>
      </c>
    </row>
    <row r="426" ht="15.75" customHeight="1">
      <c r="F426" s="69"/>
      <c r="G426" s="60" t="str">
        <f>IF(NOT(ISBLANK(F426)),SUMIF(DETALHADO!D:D, F426,DETALHADO!C:C),"")</f>
        <v/>
      </c>
    </row>
    <row r="427" ht="15.75" customHeight="1">
      <c r="F427" s="69"/>
      <c r="G427" s="60" t="str">
        <f>IF(NOT(ISBLANK(F427)),SUMIF(DETALHADO!D:D, F427,DETALHADO!C:C),"")</f>
        <v/>
      </c>
    </row>
    <row r="428" ht="15.75" customHeight="1">
      <c r="F428" s="69"/>
      <c r="G428" s="60" t="str">
        <f>IF(NOT(ISBLANK(F428)),SUMIF(DETALHADO!D:D, F428,DETALHADO!C:C),"")</f>
        <v/>
      </c>
    </row>
    <row r="429" ht="15.75" customHeight="1">
      <c r="F429" s="69"/>
      <c r="G429" s="60" t="str">
        <f>IF(NOT(ISBLANK(F429)),SUMIF(DETALHADO!D:D, F429,DETALHADO!C:C),"")</f>
        <v/>
      </c>
    </row>
    <row r="430" ht="15.75" customHeight="1">
      <c r="F430" s="69"/>
      <c r="G430" s="60" t="str">
        <f>IF(NOT(ISBLANK(F430)),SUMIF(DETALHADO!D:D, F430,DETALHADO!C:C),"")</f>
        <v/>
      </c>
    </row>
    <row r="431" ht="15.75" customHeight="1">
      <c r="F431" s="69"/>
      <c r="G431" s="60" t="str">
        <f>IF(NOT(ISBLANK(F431)),SUMIF(DETALHADO!D:D, F431,DETALHADO!C:C),"")</f>
        <v/>
      </c>
    </row>
    <row r="432" ht="15.75" customHeight="1">
      <c r="F432" s="69"/>
      <c r="G432" s="60" t="str">
        <f>IF(NOT(ISBLANK(F432)),SUMIF(DETALHADO!D:D, F432,DETALHADO!C:C),"")</f>
        <v/>
      </c>
    </row>
    <row r="433" ht="15.75" customHeight="1">
      <c r="F433" s="69"/>
      <c r="G433" s="60" t="str">
        <f>IF(NOT(ISBLANK(F433)),SUMIF(DETALHADO!D:D, F433,DETALHADO!C:C),"")</f>
        <v/>
      </c>
    </row>
    <row r="434" ht="15.75" customHeight="1">
      <c r="F434" s="69"/>
      <c r="G434" s="60" t="str">
        <f>IF(NOT(ISBLANK(F434)),SUMIF(DETALHADO!D:D, F434,DETALHADO!C:C),"")</f>
        <v/>
      </c>
    </row>
    <row r="435" ht="15.75" customHeight="1">
      <c r="F435" s="69"/>
      <c r="G435" s="60" t="str">
        <f>IF(NOT(ISBLANK(F435)),SUMIF(DETALHADO!D:D, F435,DETALHADO!C:C),"")</f>
        <v/>
      </c>
    </row>
    <row r="436" ht="15.75" customHeight="1">
      <c r="F436" s="69"/>
      <c r="G436" s="60" t="str">
        <f>IF(NOT(ISBLANK(F436)),SUMIF(DETALHADO!D:D, F436,DETALHADO!C:C),"")</f>
        <v/>
      </c>
    </row>
    <row r="437" ht="15.75" customHeight="1">
      <c r="F437" s="69"/>
      <c r="G437" s="60" t="str">
        <f>IF(NOT(ISBLANK(F437)),SUMIF(DETALHADO!D:D, F437,DETALHADO!C:C),"")</f>
        <v/>
      </c>
    </row>
    <row r="438" ht="15.75" customHeight="1">
      <c r="F438" s="69"/>
      <c r="G438" s="60" t="str">
        <f>IF(NOT(ISBLANK(F438)),SUMIF(DETALHADO!D:D, F438,DETALHADO!C:C),"")</f>
        <v/>
      </c>
    </row>
    <row r="439" ht="15.75" customHeight="1">
      <c r="F439" s="69"/>
      <c r="G439" s="60" t="str">
        <f>IF(NOT(ISBLANK(F439)),SUMIF(DETALHADO!D:D, F439,DETALHADO!C:C),"")</f>
        <v/>
      </c>
    </row>
    <row r="440" ht="15.75" customHeight="1">
      <c r="F440" s="69"/>
      <c r="G440" s="60" t="str">
        <f>IF(NOT(ISBLANK(F440)),SUMIF(DETALHADO!D:D, F440,DETALHADO!C:C),"")</f>
        <v/>
      </c>
    </row>
    <row r="441" ht="15.75" customHeight="1">
      <c r="F441" s="69"/>
      <c r="G441" s="60" t="str">
        <f>IF(NOT(ISBLANK(F441)),SUMIF(DETALHADO!D:D, F441,DETALHADO!C:C),"")</f>
        <v/>
      </c>
    </row>
    <row r="442" ht="15.75" customHeight="1">
      <c r="F442" s="69"/>
      <c r="G442" s="60" t="str">
        <f>IF(NOT(ISBLANK(F442)),SUMIF(DETALHADO!D:D, F442,DETALHADO!C:C),"")</f>
        <v/>
      </c>
    </row>
    <row r="443" ht="15.75" customHeight="1">
      <c r="F443" s="69"/>
      <c r="G443" s="60" t="str">
        <f>IF(NOT(ISBLANK(F443)),SUMIF(DETALHADO!D:D, F443,DETALHADO!C:C),"")</f>
        <v/>
      </c>
    </row>
    <row r="444" ht="15.75" customHeight="1">
      <c r="F444" s="69"/>
      <c r="G444" s="60" t="str">
        <f>IF(NOT(ISBLANK(F444)),SUMIF(DETALHADO!D:D, F444,DETALHADO!C:C),"")</f>
        <v/>
      </c>
    </row>
    <row r="445" ht="15.75" customHeight="1">
      <c r="F445" s="69"/>
      <c r="G445" s="60" t="str">
        <f>IF(NOT(ISBLANK(F445)),SUMIF(DETALHADO!D:D, F445,DETALHADO!C:C),"")</f>
        <v/>
      </c>
    </row>
    <row r="446" ht="15.75" customHeight="1">
      <c r="F446" s="69"/>
      <c r="G446" s="60" t="str">
        <f>IF(NOT(ISBLANK(F446)),SUMIF(DETALHADO!D:D, F446,DETALHADO!C:C),"")</f>
        <v/>
      </c>
    </row>
    <row r="447" ht="15.75" customHeight="1">
      <c r="F447" s="69"/>
      <c r="G447" s="60" t="str">
        <f>IF(NOT(ISBLANK(F447)),SUMIF(DETALHADO!D:D, F447,DETALHADO!C:C),"")</f>
        <v/>
      </c>
    </row>
    <row r="448" ht="15.75" customHeight="1">
      <c r="F448" s="69"/>
      <c r="G448" s="60" t="str">
        <f>IF(NOT(ISBLANK(F448)),SUMIF(DETALHADO!D:D, F448,DETALHADO!C:C),"")</f>
        <v/>
      </c>
    </row>
    <row r="449" ht="15.75" customHeight="1">
      <c r="F449" s="69"/>
      <c r="G449" s="60" t="str">
        <f>IF(NOT(ISBLANK(F449)),SUMIF(DETALHADO!D:D, F449,DETALHADO!C:C),"")</f>
        <v/>
      </c>
    </row>
    <row r="450" ht="15.75" customHeight="1">
      <c r="F450" s="69"/>
      <c r="G450" s="60" t="str">
        <f>IF(NOT(ISBLANK(F450)),SUMIF(DETALHADO!D:D, F450,DETALHADO!C:C),"")</f>
        <v/>
      </c>
    </row>
    <row r="451" ht="15.75" customHeight="1">
      <c r="F451" s="69"/>
      <c r="G451" s="60" t="str">
        <f>IF(NOT(ISBLANK(F451)),SUMIF(DETALHADO!D:D, F451,DETALHADO!C:C),"")</f>
        <v/>
      </c>
    </row>
    <row r="452" ht="15.75" customHeight="1">
      <c r="F452" s="69"/>
      <c r="G452" s="60" t="str">
        <f>IF(NOT(ISBLANK(F452)),SUMIF(DETALHADO!D:D, F452,DETALHADO!C:C),"")</f>
        <v/>
      </c>
    </row>
    <row r="453" ht="15.75" customHeight="1">
      <c r="F453" s="69"/>
      <c r="G453" s="60" t="str">
        <f>IF(NOT(ISBLANK(F453)),SUMIF(DETALHADO!D:D, F453,DETALHADO!C:C),"")</f>
        <v/>
      </c>
    </row>
    <row r="454" ht="15.75" customHeight="1">
      <c r="F454" s="69"/>
      <c r="G454" s="60" t="str">
        <f>IF(NOT(ISBLANK(F454)),SUMIF(DETALHADO!D:D, F454,DETALHADO!C:C),"")</f>
        <v/>
      </c>
    </row>
    <row r="455" ht="15.75" customHeight="1">
      <c r="F455" s="69"/>
      <c r="G455" s="60" t="str">
        <f>IF(NOT(ISBLANK(F455)),SUMIF(DETALHADO!D:D, F455,DETALHADO!C:C),"")</f>
        <v/>
      </c>
    </row>
    <row r="456" ht="15.75" customHeight="1">
      <c r="F456" s="69"/>
      <c r="G456" s="60" t="str">
        <f>IF(NOT(ISBLANK(F456)),SUMIF(DETALHADO!D:D, F456,DETALHADO!C:C),"")</f>
        <v/>
      </c>
    </row>
    <row r="457" ht="15.75" customHeight="1">
      <c r="F457" s="69"/>
      <c r="G457" s="60" t="str">
        <f>IF(NOT(ISBLANK(F457)),SUMIF(DETALHADO!D:D, F457,DETALHADO!C:C),"")</f>
        <v/>
      </c>
    </row>
    <row r="458" ht="15.75" customHeight="1">
      <c r="F458" s="69"/>
      <c r="G458" s="60" t="str">
        <f>IF(NOT(ISBLANK(F458)),SUMIF(DETALHADO!D:D, F458,DETALHADO!C:C),"")</f>
        <v/>
      </c>
    </row>
    <row r="459" ht="15.75" customHeight="1">
      <c r="F459" s="69"/>
      <c r="G459" s="60" t="str">
        <f>IF(NOT(ISBLANK(F459)),SUMIF(DETALHADO!D:D, F459,DETALHADO!C:C),"")</f>
        <v/>
      </c>
    </row>
    <row r="460" ht="15.75" customHeight="1">
      <c r="F460" s="69"/>
      <c r="G460" s="60" t="str">
        <f>IF(NOT(ISBLANK(F460)),SUMIF(DETALHADO!D:D, F460,DETALHADO!C:C),"")</f>
        <v/>
      </c>
    </row>
    <row r="461" ht="15.75" customHeight="1">
      <c r="F461" s="69"/>
      <c r="G461" s="60" t="str">
        <f>IF(NOT(ISBLANK(F461)),SUMIF(DETALHADO!D:D, F461,DETALHADO!C:C),"")</f>
        <v/>
      </c>
    </row>
    <row r="462" ht="15.75" customHeight="1">
      <c r="F462" s="69"/>
      <c r="G462" s="60" t="str">
        <f>IF(NOT(ISBLANK(F462)),SUMIF(DETALHADO!D:D, F462,DETALHADO!C:C),"")</f>
        <v/>
      </c>
    </row>
    <row r="463" ht="15.75" customHeight="1">
      <c r="F463" s="69"/>
      <c r="G463" s="60" t="str">
        <f>IF(NOT(ISBLANK(F463)),SUMIF(DETALHADO!D:D, F463,DETALHADO!C:C),"")</f>
        <v/>
      </c>
    </row>
    <row r="464" ht="15.75" customHeight="1">
      <c r="F464" s="69"/>
      <c r="G464" s="60" t="str">
        <f>IF(NOT(ISBLANK(F464)),SUMIF(DETALHADO!D:D, F464,DETALHADO!C:C),"")</f>
        <v/>
      </c>
    </row>
    <row r="465" ht="15.75" customHeight="1">
      <c r="F465" s="69"/>
      <c r="G465" s="60" t="str">
        <f>IF(NOT(ISBLANK(F465)),SUMIF(DETALHADO!D:D, F465,DETALHADO!C:C),"")</f>
        <v/>
      </c>
    </row>
    <row r="466" ht="15.75" customHeight="1">
      <c r="F466" s="69"/>
      <c r="G466" s="60" t="str">
        <f>IF(NOT(ISBLANK(F466)),SUMIF(DETALHADO!D:D, F466,DETALHADO!C:C),"")</f>
        <v/>
      </c>
    </row>
    <row r="467" ht="15.75" customHeight="1">
      <c r="F467" s="69"/>
      <c r="G467" s="60" t="str">
        <f>IF(NOT(ISBLANK(F467)),SUMIF(DETALHADO!D:D, F467,DETALHADO!C:C),"")</f>
        <v/>
      </c>
    </row>
    <row r="468" ht="15.75" customHeight="1">
      <c r="F468" s="69"/>
      <c r="G468" s="60" t="str">
        <f>IF(NOT(ISBLANK(F468)),SUMIF(DETALHADO!D:D, F468,DETALHADO!C:C),"")</f>
        <v/>
      </c>
    </row>
    <row r="469" ht="15.75" customHeight="1">
      <c r="F469" s="69"/>
      <c r="G469" s="60" t="str">
        <f>IF(NOT(ISBLANK(F469)),SUMIF(DETALHADO!D:D, F469,DETALHADO!C:C),"")</f>
        <v/>
      </c>
    </row>
    <row r="470" ht="15.75" customHeight="1">
      <c r="F470" s="69"/>
      <c r="G470" s="60" t="str">
        <f>IF(NOT(ISBLANK(F470)),SUMIF(DETALHADO!D:D, F470,DETALHADO!C:C),"")</f>
        <v/>
      </c>
    </row>
    <row r="471" ht="15.75" customHeight="1">
      <c r="F471" s="69"/>
      <c r="G471" s="60" t="str">
        <f>IF(NOT(ISBLANK(F471)),SUMIF(DETALHADO!D:D, F471,DETALHADO!C:C),"")</f>
        <v/>
      </c>
    </row>
    <row r="472" ht="15.75" customHeight="1">
      <c r="F472" s="69"/>
      <c r="G472" s="60" t="str">
        <f>IF(NOT(ISBLANK(F472)),SUMIF(DETALHADO!D:D, F472,DETALHADO!C:C),"")</f>
        <v/>
      </c>
    </row>
    <row r="473" ht="15.75" customHeight="1">
      <c r="F473" s="69"/>
      <c r="G473" s="60" t="str">
        <f>IF(NOT(ISBLANK(F473)),SUMIF(DETALHADO!D:D, F473,DETALHADO!C:C),"")</f>
        <v/>
      </c>
    </row>
    <row r="474" ht="15.75" customHeight="1">
      <c r="F474" s="69"/>
      <c r="G474" s="60" t="str">
        <f>IF(NOT(ISBLANK(F474)),SUMIF(DETALHADO!D:D, F474,DETALHADO!C:C),"")</f>
        <v/>
      </c>
    </row>
    <row r="475" ht="15.75" customHeight="1">
      <c r="F475" s="69"/>
      <c r="G475" s="60" t="str">
        <f>IF(NOT(ISBLANK(F475)),SUMIF(DETALHADO!D:D, F475,DETALHADO!C:C),"")</f>
        <v/>
      </c>
    </row>
    <row r="476" ht="15.75" customHeight="1">
      <c r="F476" s="69"/>
      <c r="G476" s="60" t="str">
        <f>IF(NOT(ISBLANK(F476)),SUMIF(DETALHADO!D:D, F476,DETALHADO!C:C),"")</f>
        <v/>
      </c>
    </row>
    <row r="477" ht="15.75" customHeight="1">
      <c r="F477" s="69"/>
      <c r="G477" s="60" t="str">
        <f>IF(NOT(ISBLANK(F477)),SUMIF(DETALHADO!D:D, F477,DETALHADO!C:C),"")</f>
        <v/>
      </c>
    </row>
    <row r="478" ht="15.75" customHeight="1">
      <c r="F478" s="69"/>
      <c r="G478" s="60" t="str">
        <f>IF(NOT(ISBLANK(F478)),SUMIF(DETALHADO!D:D, F478,DETALHADO!C:C),"")</f>
        <v/>
      </c>
    </row>
    <row r="479" ht="15.75" customHeight="1">
      <c r="F479" s="69"/>
      <c r="G479" s="60" t="str">
        <f>IF(NOT(ISBLANK(F479)),SUMIF(DETALHADO!D:D, F479,DETALHADO!C:C),"")</f>
        <v/>
      </c>
    </row>
    <row r="480" ht="15.75" customHeight="1">
      <c r="F480" s="69"/>
      <c r="G480" s="60" t="str">
        <f>IF(NOT(ISBLANK(F480)),SUMIF(DETALHADO!D:D, F480,DETALHADO!C:C),"")</f>
        <v/>
      </c>
    </row>
    <row r="481" ht="15.75" customHeight="1">
      <c r="F481" s="69"/>
      <c r="G481" s="60" t="str">
        <f>IF(NOT(ISBLANK(F481)),SUMIF(DETALHADO!D:D, F481,DETALHADO!C:C),"")</f>
        <v/>
      </c>
    </row>
    <row r="482" ht="15.75" customHeight="1">
      <c r="F482" s="69"/>
      <c r="G482" s="60" t="str">
        <f>IF(NOT(ISBLANK(F482)),SUMIF(DETALHADO!D:D, F482,DETALHADO!C:C),"")</f>
        <v/>
      </c>
    </row>
    <row r="483" ht="15.75" customHeight="1">
      <c r="F483" s="69"/>
      <c r="G483" s="60" t="str">
        <f>IF(NOT(ISBLANK(F483)),SUMIF(DETALHADO!D:D, F483,DETALHADO!C:C),"")</f>
        <v/>
      </c>
    </row>
    <row r="484" ht="15.75" customHeight="1">
      <c r="F484" s="69"/>
      <c r="G484" s="60" t="str">
        <f>IF(NOT(ISBLANK(F484)),SUMIF(DETALHADO!D:D, F484,DETALHADO!C:C),"")</f>
        <v/>
      </c>
    </row>
    <row r="485" ht="15.75" customHeight="1">
      <c r="F485" s="69"/>
      <c r="G485" s="60" t="str">
        <f>IF(NOT(ISBLANK(F485)),SUMIF(DETALHADO!D:D, F485,DETALHADO!C:C),"")</f>
        <v/>
      </c>
    </row>
    <row r="486" ht="15.75" customHeight="1">
      <c r="F486" s="69"/>
      <c r="G486" s="60" t="str">
        <f>IF(NOT(ISBLANK(F486)),SUMIF(DETALHADO!D:D, F486,DETALHADO!C:C),"")</f>
        <v/>
      </c>
    </row>
    <row r="487" ht="15.75" customHeight="1">
      <c r="F487" s="69"/>
      <c r="G487" s="60" t="str">
        <f>IF(NOT(ISBLANK(F487)),SUMIF(DETALHADO!D:D, F487,DETALHADO!C:C),"")</f>
        <v/>
      </c>
    </row>
    <row r="488" ht="15.75" customHeight="1">
      <c r="F488" s="69"/>
      <c r="G488" s="60" t="str">
        <f>IF(NOT(ISBLANK(F488)),SUMIF(DETALHADO!D:D, F488,DETALHADO!C:C),"")</f>
        <v/>
      </c>
    </row>
    <row r="489" ht="15.75" customHeight="1">
      <c r="F489" s="69"/>
      <c r="G489" s="60" t="str">
        <f>IF(NOT(ISBLANK(F489)),SUMIF(DETALHADO!D:D, F489,DETALHADO!C:C),"")</f>
        <v/>
      </c>
    </row>
    <row r="490" ht="15.75" customHeight="1">
      <c r="F490" s="69"/>
      <c r="G490" s="60" t="str">
        <f>IF(NOT(ISBLANK(F490)),SUMIF(DETALHADO!D:D, F490,DETALHADO!C:C),"")</f>
        <v/>
      </c>
    </row>
    <row r="491" ht="15.75" customHeight="1">
      <c r="F491" s="69"/>
      <c r="G491" s="60" t="str">
        <f>IF(NOT(ISBLANK(F491)),SUMIF(DETALHADO!D:D, F491,DETALHADO!C:C),"")</f>
        <v/>
      </c>
    </row>
    <row r="492" ht="15.75" customHeight="1">
      <c r="F492" s="69"/>
      <c r="G492" s="60" t="str">
        <f>IF(NOT(ISBLANK(F492)),SUMIF(DETALHADO!D:D, F492,DETALHADO!C:C),"")</f>
        <v/>
      </c>
    </row>
    <row r="493" ht="15.75" customHeight="1">
      <c r="F493" s="69"/>
      <c r="G493" s="60" t="str">
        <f>IF(NOT(ISBLANK(F493)),SUMIF(DETALHADO!D:D, F493,DETALHADO!C:C),"")</f>
        <v/>
      </c>
    </row>
    <row r="494" ht="15.75" customHeight="1">
      <c r="F494" s="69"/>
      <c r="G494" s="60" t="str">
        <f>IF(NOT(ISBLANK(F494)),SUMIF(DETALHADO!D:D, F494,DETALHADO!C:C),"")</f>
        <v/>
      </c>
    </row>
    <row r="495" ht="15.75" customHeight="1">
      <c r="F495" s="69"/>
      <c r="G495" s="60" t="str">
        <f>IF(NOT(ISBLANK(F495)),SUMIF(DETALHADO!D:D, F495,DETALHADO!C:C),"")</f>
        <v/>
      </c>
    </row>
    <row r="496" ht="15.75" customHeight="1">
      <c r="F496" s="69"/>
      <c r="G496" s="60" t="str">
        <f>IF(NOT(ISBLANK(F496)),SUMIF(DETALHADO!D:D, F496,DETALHADO!C:C),"")</f>
        <v/>
      </c>
    </row>
    <row r="497" ht="15.75" customHeight="1">
      <c r="F497" s="69"/>
      <c r="G497" s="60" t="str">
        <f>IF(NOT(ISBLANK(F497)),SUMIF(DETALHADO!D:D, F497,DETALHADO!C:C),"")</f>
        <v/>
      </c>
    </row>
    <row r="498" ht="15.75" customHeight="1">
      <c r="F498" s="69"/>
      <c r="G498" s="60" t="str">
        <f>IF(NOT(ISBLANK(F498)),SUMIF(DETALHADO!D:D, F498,DETALHADO!C:C),"")</f>
        <v/>
      </c>
    </row>
    <row r="499" ht="15.75" customHeight="1">
      <c r="F499" s="69"/>
      <c r="G499" s="60" t="str">
        <f>IF(NOT(ISBLANK(F499)),SUMIF(DETALHADO!D:D, F499,DETALHADO!C:C),"")</f>
        <v/>
      </c>
    </row>
    <row r="500" ht="15.75" customHeight="1">
      <c r="F500" s="69"/>
      <c r="G500" s="60" t="str">
        <f>IF(NOT(ISBLANK(F500)),SUMIF(DETALHADO!D:D, F500,DETALHADO!C:C),"")</f>
        <v/>
      </c>
    </row>
    <row r="501" ht="15.75" customHeight="1">
      <c r="F501" s="69"/>
      <c r="G501" s="60" t="str">
        <f>IF(NOT(ISBLANK(F501)),SUMIF(DETALHADO!D:D, F501,DETALHADO!C:C),"")</f>
        <v/>
      </c>
    </row>
    <row r="502" ht="15.75" customHeight="1">
      <c r="F502" s="69"/>
      <c r="G502" s="60" t="str">
        <f>IF(NOT(ISBLANK(F502)),SUMIF(DETALHADO!D:D, F502,DETALHADO!C:C),"")</f>
        <v/>
      </c>
    </row>
    <row r="503" ht="15.75" customHeight="1">
      <c r="F503" s="69"/>
      <c r="G503" s="60" t="str">
        <f>IF(NOT(ISBLANK(F503)),SUMIF(DETALHADO!D:D, F503,DETALHADO!C:C),"")</f>
        <v/>
      </c>
    </row>
    <row r="504" ht="15.75" customHeight="1">
      <c r="F504" s="69"/>
      <c r="G504" s="60" t="str">
        <f>IF(NOT(ISBLANK(F504)),SUMIF(DETALHADO!D:D, F504,DETALHADO!C:C),"")</f>
        <v/>
      </c>
    </row>
    <row r="505" ht="15.75" customHeight="1">
      <c r="F505" s="69"/>
      <c r="G505" s="60" t="str">
        <f>IF(NOT(ISBLANK(F505)),SUMIF(DETALHADO!D:D, F505,DETALHADO!C:C),"")</f>
        <v/>
      </c>
    </row>
    <row r="506" ht="15.75" customHeight="1">
      <c r="F506" s="69"/>
      <c r="G506" s="60" t="str">
        <f>IF(NOT(ISBLANK(F506)),SUMIF(DETALHADO!D:D, F506,DETALHADO!C:C),"")</f>
        <v/>
      </c>
    </row>
    <row r="507" ht="15.75" customHeight="1">
      <c r="F507" s="69"/>
      <c r="G507" s="60" t="str">
        <f>IF(NOT(ISBLANK(F507)),SUMIF(DETALHADO!D:D, F507,DETALHADO!C:C),"")</f>
        <v/>
      </c>
    </row>
    <row r="508" ht="15.75" customHeight="1">
      <c r="F508" s="69"/>
      <c r="G508" s="60" t="str">
        <f>IF(NOT(ISBLANK(F508)),SUMIF(DETALHADO!D:D, F508,DETALHADO!C:C),"")</f>
        <v/>
      </c>
    </row>
    <row r="509" ht="15.75" customHeight="1">
      <c r="F509" s="69"/>
      <c r="G509" s="60" t="str">
        <f>IF(NOT(ISBLANK(F509)),SUMIF(DETALHADO!D:D, F509,DETALHADO!C:C),"")</f>
        <v/>
      </c>
    </row>
    <row r="510" ht="15.75" customHeight="1">
      <c r="F510" s="69"/>
      <c r="G510" s="60" t="str">
        <f>IF(NOT(ISBLANK(F510)),SUMIF(DETALHADO!D:D, F510,DETALHADO!C:C),"")</f>
        <v/>
      </c>
    </row>
    <row r="511" ht="15.75" customHeight="1">
      <c r="F511" s="69"/>
      <c r="G511" s="60" t="str">
        <f>IF(NOT(ISBLANK(F511)),SUMIF(DETALHADO!D:D, F511,DETALHADO!C:C),"")</f>
        <v/>
      </c>
    </row>
    <row r="512" ht="15.75" customHeight="1">
      <c r="F512" s="69"/>
      <c r="G512" s="60" t="str">
        <f>IF(NOT(ISBLANK(F512)),SUMIF(DETALHADO!D:D, F512,DETALHADO!C:C),"")</f>
        <v/>
      </c>
    </row>
    <row r="513" ht="15.75" customHeight="1">
      <c r="F513" s="69"/>
      <c r="G513" s="60" t="str">
        <f>IF(NOT(ISBLANK(F513)),SUMIF(DETALHADO!D:D, F513,DETALHADO!C:C),"")</f>
        <v/>
      </c>
    </row>
    <row r="514" ht="15.75" customHeight="1">
      <c r="F514" s="69"/>
      <c r="G514" s="60" t="str">
        <f>IF(NOT(ISBLANK(F514)),SUMIF(DETALHADO!D:D, F514,DETALHADO!C:C),"")</f>
        <v/>
      </c>
    </row>
    <row r="515" ht="15.75" customHeight="1">
      <c r="F515" s="69"/>
      <c r="G515" s="60" t="str">
        <f>IF(NOT(ISBLANK(F515)),SUMIF(DETALHADO!D:D, F515,DETALHADO!C:C),"")</f>
        <v/>
      </c>
    </row>
    <row r="516" ht="15.75" customHeight="1">
      <c r="F516" s="69"/>
      <c r="G516" s="60" t="str">
        <f>IF(NOT(ISBLANK(F516)),SUMIF(DETALHADO!D:D, F516,DETALHADO!C:C),"")</f>
        <v/>
      </c>
    </row>
    <row r="517" ht="15.75" customHeight="1">
      <c r="F517" s="69"/>
      <c r="G517" s="60" t="str">
        <f>IF(NOT(ISBLANK(F517)),SUMIF(DETALHADO!D:D, F517,DETALHADO!C:C),"")</f>
        <v/>
      </c>
    </row>
    <row r="518" ht="15.75" customHeight="1">
      <c r="F518" s="69"/>
      <c r="G518" s="60" t="str">
        <f>IF(NOT(ISBLANK(F518)),SUMIF(DETALHADO!D:D, F518,DETALHADO!C:C),"")</f>
        <v/>
      </c>
    </row>
    <row r="519" ht="15.75" customHeight="1">
      <c r="F519" s="69"/>
      <c r="G519" s="60" t="str">
        <f>IF(NOT(ISBLANK(F519)),SUMIF(DETALHADO!D:D, F519,DETALHADO!C:C),"")</f>
        <v/>
      </c>
    </row>
    <row r="520" ht="15.75" customHeight="1">
      <c r="F520" s="69"/>
      <c r="G520" s="60" t="str">
        <f>IF(NOT(ISBLANK(F520)),SUMIF(DETALHADO!D:D, F520,DETALHADO!C:C),"")</f>
        <v/>
      </c>
    </row>
    <row r="521" ht="15.75" customHeight="1">
      <c r="F521" s="69"/>
      <c r="G521" s="60" t="str">
        <f>IF(NOT(ISBLANK(F521)),SUMIF(DETALHADO!D:D, F521,DETALHADO!C:C),"")</f>
        <v/>
      </c>
    </row>
    <row r="522" ht="15.75" customHeight="1">
      <c r="F522" s="69"/>
      <c r="G522" s="60" t="str">
        <f>IF(NOT(ISBLANK(F522)),SUMIF(DETALHADO!D:D, F522,DETALHADO!C:C),"")</f>
        <v/>
      </c>
    </row>
    <row r="523" ht="15.75" customHeight="1">
      <c r="F523" s="69"/>
      <c r="G523" s="60" t="str">
        <f>IF(NOT(ISBLANK(F523)),SUMIF(DETALHADO!D:D, F523,DETALHADO!C:C),"")</f>
        <v/>
      </c>
    </row>
    <row r="524" ht="15.75" customHeight="1">
      <c r="F524" s="69"/>
      <c r="G524" s="60" t="str">
        <f>IF(NOT(ISBLANK(F524)),SUMIF(DETALHADO!D:D, F524,DETALHADO!C:C),"")</f>
        <v/>
      </c>
    </row>
    <row r="525" ht="15.75" customHeight="1">
      <c r="F525" s="69"/>
      <c r="G525" s="60" t="str">
        <f>IF(NOT(ISBLANK(F525)),SUMIF(DETALHADO!D:D, F525,DETALHADO!C:C),"")</f>
        <v/>
      </c>
    </row>
    <row r="526" ht="15.75" customHeight="1">
      <c r="F526" s="69"/>
      <c r="G526" s="60" t="str">
        <f>IF(NOT(ISBLANK(F526)),SUMIF(DETALHADO!D:D, F526,DETALHADO!C:C),"")</f>
        <v/>
      </c>
    </row>
    <row r="527" ht="15.75" customHeight="1">
      <c r="F527" s="69"/>
      <c r="G527" s="60" t="str">
        <f>IF(NOT(ISBLANK(F527)),SUMIF(DETALHADO!D:D, F527,DETALHADO!C:C),"")</f>
        <v/>
      </c>
    </row>
    <row r="528" ht="15.75" customHeight="1">
      <c r="F528" s="69"/>
      <c r="G528" s="60" t="str">
        <f>IF(NOT(ISBLANK(F528)),SUMIF(DETALHADO!D:D, F528,DETALHADO!C:C),"")</f>
        <v/>
      </c>
    </row>
    <row r="529" ht="15.75" customHeight="1">
      <c r="F529" s="69"/>
      <c r="G529" s="60" t="str">
        <f>IF(NOT(ISBLANK(F529)),SUMIF(DETALHADO!D:D, F529,DETALHADO!C:C),"")</f>
        <v/>
      </c>
    </row>
    <row r="530" ht="15.75" customHeight="1">
      <c r="F530" s="69"/>
      <c r="G530" s="60" t="str">
        <f>IF(NOT(ISBLANK(F530)),SUMIF(DETALHADO!D:D, F530,DETALHADO!C:C),"")</f>
        <v/>
      </c>
    </row>
    <row r="531" ht="15.75" customHeight="1">
      <c r="F531" s="69"/>
      <c r="G531" s="60" t="str">
        <f>IF(NOT(ISBLANK(F531)),SUMIF(DETALHADO!D:D, F531,DETALHADO!C:C),"")</f>
        <v/>
      </c>
    </row>
    <row r="532" ht="15.75" customHeight="1">
      <c r="F532" s="69"/>
      <c r="G532" s="60" t="str">
        <f>IF(NOT(ISBLANK(F532)),SUMIF(DETALHADO!D:D, F532,DETALHADO!C:C),"")</f>
        <v/>
      </c>
    </row>
    <row r="533" ht="15.75" customHeight="1">
      <c r="F533" s="69"/>
      <c r="G533" s="60" t="str">
        <f>IF(NOT(ISBLANK(F533)),SUMIF(DETALHADO!D:D, F533,DETALHADO!C:C),"")</f>
        <v/>
      </c>
    </row>
    <row r="534" ht="15.75" customHeight="1">
      <c r="F534" s="69"/>
      <c r="G534" s="60" t="str">
        <f>IF(NOT(ISBLANK(F534)),SUMIF(DETALHADO!D:D, F534,DETALHADO!C:C),"")</f>
        <v/>
      </c>
    </row>
    <row r="535" ht="15.75" customHeight="1">
      <c r="F535" s="69"/>
      <c r="G535" s="60" t="str">
        <f>IF(NOT(ISBLANK(F535)),SUMIF(DETALHADO!D:D, F535,DETALHADO!C:C),"")</f>
        <v/>
      </c>
    </row>
    <row r="536" ht="15.75" customHeight="1">
      <c r="F536" s="69"/>
      <c r="G536" s="60" t="str">
        <f>IF(NOT(ISBLANK(F536)),SUMIF(DETALHADO!D:D, F536,DETALHADO!C:C),"")</f>
        <v/>
      </c>
    </row>
    <row r="537" ht="15.75" customHeight="1">
      <c r="F537" s="69"/>
      <c r="G537" s="60" t="str">
        <f>IF(NOT(ISBLANK(F537)),SUMIF(DETALHADO!D:D, F537,DETALHADO!C:C),"")</f>
        <v/>
      </c>
    </row>
    <row r="538" ht="15.75" customHeight="1">
      <c r="F538" s="69"/>
      <c r="G538" s="60" t="str">
        <f>IF(NOT(ISBLANK(F538)),SUMIF(DETALHADO!D:D, F538,DETALHADO!C:C),"")</f>
        <v/>
      </c>
    </row>
    <row r="539" ht="15.75" customHeight="1">
      <c r="F539" s="69"/>
      <c r="G539" s="60" t="str">
        <f>IF(NOT(ISBLANK(F539)),SUMIF(DETALHADO!D:D, F539,DETALHADO!C:C),"")</f>
        <v/>
      </c>
    </row>
    <row r="540" ht="15.75" customHeight="1">
      <c r="F540" s="69"/>
      <c r="G540" s="60" t="str">
        <f>IF(NOT(ISBLANK(F540)),SUMIF(DETALHADO!D:D, F540,DETALHADO!C:C),"")</f>
        <v/>
      </c>
    </row>
    <row r="541" ht="15.75" customHeight="1">
      <c r="F541" s="69"/>
      <c r="G541" s="60" t="str">
        <f>IF(NOT(ISBLANK(F541)),SUMIF(DETALHADO!D:D, F541,DETALHADO!C:C),"")</f>
        <v/>
      </c>
    </row>
    <row r="542" ht="15.75" customHeight="1">
      <c r="F542" s="69"/>
      <c r="G542" s="60" t="str">
        <f>IF(NOT(ISBLANK(F542)),SUMIF(DETALHADO!D:D, F542,DETALHADO!C:C),"")</f>
        <v/>
      </c>
    </row>
    <row r="543" ht="15.75" customHeight="1">
      <c r="F543" s="69"/>
      <c r="G543" s="60" t="str">
        <f>IF(NOT(ISBLANK(F543)),SUMIF(DETALHADO!D:D, F543,DETALHADO!C:C),"")</f>
        <v/>
      </c>
    </row>
    <row r="544" ht="15.75" customHeight="1">
      <c r="F544" s="69"/>
      <c r="G544" s="60" t="str">
        <f>IF(NOT(ISBLANK(F544)),SUMIF(DETALHADO!D:D, F544,DETALHADO!C:C),"")</f>
        <v/>
      </c>
    </row>
    <row r="545" ht="15.75" customHeight="1">
      <c r="F545" s="69"/>
      <c r="G545" s="60" t="str">
        <f>IF(NOT(ISBLANK(F545)),SUMIF(DETALHADO!D:D, F545,DETALHADO!C:C),"")</f>
        <v/>
      </c>
    </row>
    <row r="546" ht="15.75" customHeight="1">
      <c r="F546" s="69"/>
      <c r="G546" s="60" t="str">
        <f>IF(NOT(ISBLANK(F546)),SUMIF(DETALHADO!D:D, F546,DETALHADO!C:C),"")</f>
        <v/>
      </c>
    </row>
    <row r="547" ht="15.75" customHeight="1">
      <c r="F547" s="69"/>
      <c r="G547" s="60" t="str">
        <f>IF(NOT(ISBLANK(F547)),SUMIF(DETALHADO!D:D, F547,DETALHADO!C:C),"")</f>
        <v/>
      </c>
    </row>
    <row r="548" ht="15.75" customHeight="1">
      <c r="F548" s="69"/>
      <c r="G548" s="60" t="str">
        <f>IF(NOT(ISBLANK(F548)),SUMIF(DETALHADO!D:D, F548,DETALHADO!C:C),"")</f>
        <v/>
      </c>
    </row>
    <row r="549" ht="15.75" customHeight="1">
      <c r="F549" s="69"/>
      <c r="G549" s="60" t="str">
        <f>IF(NOT(ISBLANK(F549)),SUMIF(DETALHADO!D:D, F549,DETALHADO!C:C),"")</f>
        <v/>
      </c>
    </row>
    <row r="550" ht="15.75" customHeight="1">
      <c r="F550" s="69"/>
      <c r="G550" s="60" t="str">
        <f>IF(NOT(ISBLANK(F550)),SUMIF(DETALHADO!D:D, F550,DETALHADO!C:C),"")</f>
        <v/>
      </c>
    </row>
    <row r="551" ht="15.75" customHeight="1">
      <c r="F551" s="69"/>
      <c r="G551" s="60" t="str">
        <f>IF(NOT(ISBLANK(F551)),SUMIF(DETALHADO!D:D, F551,DETALHADO!C:C),"")</f>
        <v/>
      </c>
    </row>
    <row r="552" ht="15.75" customHeight="1">
      <c r="F552" s="69"/>
      <c r="G552" s="60" t="str">
        <f>IF(NOT(ISBLANK(F552)),SUMIF(DETALHADO!D:D, F552,DETALHADO!C:C),"")</f>
        <v/>
      </c>
    </row>
    <row r="553" ht="15.75" customHeight="1">
      <c r="F553" s="69"/>
      <c r="G553" s="60" t="str">
        <f>IF(NOT(ISBLANK(F553)),SUMIF(DETALHADO!D:D, F553,DETALHADO!C:C),"")</f>
        <v/>
      </c>
    </row>
    <row r="554" ht="15.75" customHeight="1">
      <c r="F554" s="69"/>
      <c r="G554" s="60" t="str">
        <f>IF(NOT(ISBLANK(F554)),SUMIF(DETALHADO!D:D, F554,DETALHADO!C:C),"")</f>
        <v/>
      </c>
    </row>
    <row r="555" ht="15.75" customHeight="1">
      <c r="F555" s="69"/>
      <c r="G555" s="60" t="str">
        <f>IF(NOT(ISBLANK(F555)),SUMIF(DETALHADO!D:D, F555,DETALHADO!C:C),"")</f>
        <v/>
      </c>
    </row>
    <row r="556" ht="15.75" customHeight="1">
      <c r="F556" s="69"/>
      <c r="G556" s="60" t="str">
        <f>IF(NOT(ISBLANK(F556)),SUMIF(DETALHADO!D:D, F556,DETALHADO!C:C),"")</f>
        <v/>
      </c>
    </row>
    <row r="557" ht="15.75" customHeight="1">
      <c r="F557" s="69"/>
      <c r="G557" s="60" t="str">
        <f>IF(NOT(ISBLANK(F557)),SUMIF(DETALHADO!D:D, F557,DETALHADO!C:C),"")</f>
        <v/>
      </c>
    </row>
    <row r="558" ht="15.75" customHeight="1">
      <c r="F558" s="69"/>
      <c r="G558" s="60" t="str">
        <f>IF(NOT(ISBLANK(F558)),SUMIF(DETALHADO!D:D, F558,DETALHADO!C:C),"")</f>
        <v/>
      </c>
    </row>
    <row r="559" ht="15.75" customHeight="1">
      <c r="F559" s="69"/>
      <c r="G559" s="60" t="str">
        <f>IF(NOT(ISBLANK(F559)),SUMIF(DETALHADO!D:D, F559,DETALHADO!C:C),"")</f>
        <v/>
      </c>
    </row>
    <row r="560" ht="15.75" customHeight="1">
      <c r="F560" s="69"/>
      <c r="G560" s="60" t="str">
        <f>IF(NOT(ISBLANK(F560)),SUMIF(DETALHADO!D:D, F560,DETALHADO!C:C),"")</f>
        <v/>
      </c>
    </row>
    <row r="561" ht="15.75" customHeight="1">
      <c r="F561" s="69"/>
      <c r="G561" s="60" t="str">
        <f>IF(NOT(ISBLANK(F561)),SUMIF(DETALHADO!D:D, F561,DETALHADO!C:C),"")</f>
        <v/>
      </c>
    </row>
    <row r="562" ht="15.75" customHeight="1">
      <c r="F562" s="69"/>
      <c r="G562" s="60" t="str">
        <f>IF(NOT(ISBLANK(F562)),SUMIF(DETALHADO!D:D, F562,DETALHADO!C:C),"")</f>
        <v/>
      </c>
    </row>
    <row r="563" ht="15.75" customHeight="1">
      <c r="F563" s="69"/>
      <c r="G563" s="60" t="str">
        <f>IF(NOT(ISBLANK(F563)),SUMIF(DETALHADO!D:D, F563,DETALHADO!C:C),"")</f>
        <v/>
      </c>
    </row>
    <row r="564" ht="15.75" customHeight="1">
      <c r="F564" s="69"/>
      <c r="G564" s="60" t="str">
        <f>IF(NOT(ISBLANK(F564)),SUMIF(DETALHADO!D:D, F564,DETALHADO!C:C),"")</f>
        <v/>
      </c>
    </row>
    <row r="565" ht="15.75" customHeight="1">
      <c r="F565" s="69"/>
      <c r="G565" s="60" t="str">
        <f>IF(NOT(ISBLANK(F565)),SUMIF(DETALHADO!D:D, F565,DETALHADO!C:C),"")</f>
        <v/>
      </c>
    </row>
    <row r="566" ht="15.75" customHeight="1">
      <c r="F566" s="69"/>
      <c r="G566" s="60" t="str">
        <f>IF(NOT(ISBLANK(F566)),SUMIF(DETALHADO!D:D, F566,DETALHADO!C:C),"")</f>
        <v/>
      </c>
    </row>
    <row r="567" ht="15.75" customHeight="1">
      <c r="F567" s="69"/>
      <c r="G567" s="60" t="str">
        <f>IF(NOT(ISBLANK(F567)),SUMIF(DETALHADO!D:D, F567,DETALHADO!C:C),"")</f>
        <v/>
      </c>
    </row>
    <row r="568" ht="15.75" customHeight="1">
      <c r="F568" s="69"/>
      <c r="G568" s="60" t="str">
        <f>IF(NOT(ISBLANK(F568)),SUMIF(DETALHADO!D:D, F568,DETALHADO!C:C),"")</f>
        <v/>
      </c>
    </row>
    <row r="569" ht="15.75" customHeight="1">
      <c r="F569" s="69"/>
      <c r="G569" s="60" t="str">
        <f>IF(NOT(ISBLANK(F569)),SUMIF(DETALHADO!D:D, F569,DETALHADO!C:C),"")</f>
        <v/>
      </c>
    </row>
    <row r="570" ht="15.75" customHeight="1">
      <c r="F570" s="69"/>
      <c r="G570" s="60" t="str">
        <f>IF(NOT(ISBLANK(F570)),SUMIF(DETALHADO!D:D, F570,DETALHADO!C:C),"")</f>
        <v/>
      </c>
    </row>
    <row r="571" ht="15.75" customHeight="1">
      <c r="F571" s="69"/>
      <c r="G571" s="60" t="str">
        <f>IF(NOT(ISBLANK(F571)),SUMIF(DETALHADO!D:D, F571,DETALHADO!C:C),"")</f>
        <v/>
      </c>
    </row>
    <row r="572" ht="15.75" customHeight="1">
      <c r="F572" s="69"/>
      <c r="G572" s="60" t="str">
        <f>IF(NOT(ISBLANK(F572)),SUMIF(DETALHADO!D:D, F572,DETALHADO!C:C),"")</f>
        <v/>
      </c>
    </row>
    <row r="573" ht="15.75" customHeight="1">
      <c r="F573" s="69"/>
      <c r="G573" s="60" t="str">
        <f>IF(NOT(ISBLANK(F573)),SUMIF(DETALHADO!D:D, F573,DETALHADO!C:C),"")</f>
        <v/>
      </c>
    </row>
    <row r="574" ht="15.75" customHeight="1">
      <c r="F574" s="69"/>
      <c r="G574" s="60" t="str">
        <f>IF(NOT(ISBLANK(F574)),SUMIF(DETALHADO!D:D, F574,DETALHADO!C:C),"")</f>
        <v/>
      </c>
    </row>
    <row r="575" ht="15.75" customHeight="1">
      <c r="F575" s="69"/>
      <c r="G575" s="60" t="str">
        <f>IF(NOT(ISBLANK(F575)),SUMIF(DETALHADO!D:D, F575,DETALHADO!C:C),"")</f>
        <v/>
      </c>
    </row>
    <row r="576" ht="15.75" customHeight="1">
      <c r="F576" s="69"/>
      <c r="G576" s="60" t="str">
        <f>IF(NOT(ISBLANK(F576)),SUMIF(DETALHADO!D:D, F576,DETALHADO!C:C),"")</f>
        <v/>
      </c>
    </row>
    <row r="577" ht="15.75" customHeight="1">
      <c r="F577" s="69"/>
      <c r="G577" s="60" t="str">
        <f>IF(NOT(ISBLANK(F577)),SUMIF(DETALHADO!D:D, F577,DETALHADO!C:C),"")</f>
        <v/>
      </c>
    </row>
    <row r="578" ht="15.75" customHeight="1">
      <c r="F578" s="69"/>
      <c r="G578" s="60" t="str">
        <f>IF(NOT(ISBLANK(F578)),SUMIF(DETALHADO!D:D, F578,DETALHADO!C:C),"")</f>
        <v/>
      </c>
    </row>
    <row r="579" ht="15.75" customHeight="1">
      <c r="F579" s="69"/>
      <c r="G579" s="60" t="str">
        <f>IF(NOT(ISBLANK(F579)),SUMIF(DETALHADO!D:D, F579,DETALHADO!C:C),"")</f>
        <v/>
      </c>
    </row>
    <row r="580" ht="15.75" customHeight="1">
      <c r="F580" s="69"/>
      <c r="G580" s="60" t="str">
        <f>IF(NOT(ISBLANK(F580)),SUMIF(DETALHADO!D:D, F580,DETALHADO!C:C),"")</f>
        <v/>
      </c>
    </row>
    <row r="581" ht="15.75" customHeight="1">
      <c r="F581" s="69"/>
      <c r="G581" s="60" t="str">
        <f>IF(NOT(ISBLANK(F581)),SUMIF(DETALHADO!D:D, F581,DETALHADO!C:C),"")</f>
        <v/>
      </c>
    </row>
    <row r="582" ht="15.75" customHeight="1">
      <c r="F582" s="69"/>
      <c r="G582" s="60" t="str">
        <f>IF(NOT(ISBLANK(F582)),SUMIF(DETALHADO!D:D, F582,DETALHADO!C:C),"")</f>
        <v/>
      </c>
    </row>
    <row r="583" ht="15.75" customHeight="1">
      <c r="F583" s="69"/>
      <c r="G583" s="60" t="str">
        <f>IF(NOT(ISBLANK(F583)),SUMIF(DETALHADO!D:D, F583,DETALHADO!C:C),"")</f>
        <v/>
      </c>
    </row>
    <row r="584" ht="15.75" customHeight="1">
      <c r="F584" s="69"/>
      <c r="G584" s="60" t="str">
        <f>IF(NOT(ISBLANK(F584)),SUMIF(DETALHADO!D:D, F584,DETALHADO!C:C),"")</f>
        <v/>
      </c>
    </row>
    <row r="585" ht="15.75" customHeight="1">
      <c r="F585" s="69"/>
      <c r="G585" s="60" t="str">
        <f>IF(NOT(ISBLANK(F585)),SUMIF(DETALHADO!D:D, F585,DETALHADO!C:C),"")</f>
        <v/>
      </c>
    </row>
    <row r="586" ht="15.75" customHeight="1">
      <c r="F586" s="69"/>
      <c r="G586" s="60" t="str">
        <f>IF(NOT(ISBLANK(F586)),SUMIF(DETALHADO!D:D, F586,DETALHADO!C:C),"")</f>
        <v/>
      </c>
    </row>
    <row r="587" ht="15.75" customHeight="1">
      <c r="F587" s="69"/>
      <c r="G587" s="60" t="str">
        <f>IF(NOT(ISBLANK(F587)),SUMIF(DETALHADO!D:D, F587,DETALHADO!C:C),"")</f>
        <v/>
      </c>
    </row>
    <row r="588" ht="15.75" customHeight="1">
      <c r="F588" s="69"/>
      <c r="G588" s="60" t="str">
        <f>IF(NOT(ISBLANK(F588)),SUMIF(DETALHADO!D:D, F588,DETALHADO!C:C),"")</f>
        <v/>
      </c>
    </row>
    <row r="589" ht="15.75" customHeight="1">
      <c r="F589" s="69"/>
      <c r="G589" s="60" t="str">
        <f>IF(NOT(ISBLANK(F589)),SUMIF(DETALHADO!D:D, F589,DETALHADO!C:C),"")</f>
        <v/>
      </c>
    </row>
    <row r="590" ht="15.75" customHeight="1">
      <c r="F590" s="69"/>
      <c r="G590" s="60" t="str">
        <f>IF(NOT(ISBLANK(F590)),SUMIF(DETALHADO!D:D, F590,DETALHADO!C:C),"")</f>
        <v/>
      </c>
    </row>
    <row r="591" ht="15.75" customHeight="1">
      <c r="F591" s="69"/>
      <c r="G591" s="60" t="str">
        <f>IF(NOT(ISBLANK(F591)),SUMIF(DETALHADO!D:D, F591,DETALHADO!C:C),"")</f>
        <v/>
      </c>
    </row>
    <row r="592" ht="15.75" customHeight="1">
      <c r="F592" s="69"/>
      <c r="G592" s="60" t="str">
        <f>IF(NOT(ISBLANK(F592)),SUMIF(DETALHADO!D:D, F592,DETALHADO!C:C),"")</f>
        <v/>
      </c>
    </row>
    <row r="593" ht="15.75" customHeight="1">
      <c r="F593" s="69"/>
      <c r="G593" s="60" t="str">
        <f>IF(NOT(ISBLANK(F593)),SUMIF(DETALHADO!D:D, F593,DETALHADO!C:C),"")</f>
        <v/>
      </c>
    </row>
    <row r="594" ht="15.75" customHeight="1">
      <c r="F594" s="69"/>
      <c r="G594" s="60" t="str">
        <f>IF(NOT(ISBLANK(F594)),SUMIF(DETALHADO!D:D, F594,DETALHADO!C:C),"")</f>
        <v/>
      </c>
    </row>
    <row r="595" ht="15.75" customHeight="1">
      <c r="F595" s="69"/>
      <c r="G595" s="60" t="str">
        <f>IF(NOT(ISBLANK(F595)),SUMIF(DETALHADO!D:D, F595,DETALHADO!C:C),"")</f>
        <v/>
      </c>
    </row>
    <row r="596" ht="15.75" customHeight="1">
      <c r="F596" s="69"/>
      <c r="G596" s="60" t="str">
        <f>IF(NOT(ISBLANK(F596)),SUMIF(DETALHADO!D:D, F596,DETALHADO!C:C),"")</f>
        <v/>
      </c>
    </row>
    <row r="597" ht="15.75" customHeight="1">
      <c r="F597" s="69"/>
      <c r="G597" s="60" t="str">
        <f>IF(NOT(ISBLANK(F597)),SUMIF(DETALHADO!D:D, F597,DETALHADO!C:C),"")</f>
        <v/>
      </c>
    </row>
    <row r="598" ht="15.75" customHeight="1">
      <c r="F598" s="69"/>
      <c r="G598" s="60" t="str">
        <f>IF(NOT(ISBLANK(F598)),SUMIF(DETALHADO!D:D, F598,DETALHADO!C:C),"")</f>
        <v/>
      </c>
    </row>
    <row r="599" ht="15.75" customHeight="1">
      <c r="F599" s="69"/>
      <c r="G599" s="60" t="str">
        <f>IF(NOT(ISBLANK(F599)),SUMIF(DETALHADO!D:D, F599,DETALHADO!C:C),"")</f>
        <v/>
      </c>
    </row>
    <row r="600" ht="15.75" customHeight="1">
      <c r="F600" s="69"/>
      <c r="G600" s="60" t="str">
        <f>IF(NOT(ISBLANK(F600)),SUMIF(DETALHADO!D:D, F600,DETALHADO!C:C),"")</f>
        <v/>
      </c>
    </row>
    <row r="601" ht="15.75" customHeight="1">
      <c r="F601" s="69"/>
      <c r="G601" s="60" t="str">
        <f>IF(NOT(ISBLANK(F601)),SUMIF(DETALHADO!D:D, F601,DETALHADO!C:C),"")</f>
        <v/>
      </c>
    </row>
    <row r="602" ht="15.75" customHeight="1">
      <c r="F602" s="69"/>
      <c r="G602" s="60" t="str">
        <f>IF(NOT(ISBLANK(F602)),SUMIF(DETALHADO!D:D, F602,DETALHADO!C:C),"")</f>
        <v/>
      </c>
    </row>
    <row r="603" ht="15.75" customHeight="1">
      <c r="F603" s="69"/>
      <c r="G603" s="60" t="str">
        <f>IF(NOT(ISBLANK(F603)),SUMIF(DETALHADO!D:D, F603,DETALHADO!C:C),"")</f>
        <v/>
      </c>
    </row>
    <row r="604" ht="15.75" customHeight="1">
      <c r="F604" s="69"/>
      <c r="G604" s="60" t="str">
        <f>IF(NOT(ISBLANK(F604)),SUMIF(DETALHADO!D:D, F604,DETALHADO!C:C),"")</f>
        <v/>
      </c>
    </row>
    <row r="605" ht="15.75" customHeight="1">
      <c r="F605" s="69"/>
      <c r="G605" s="60" t="str">
        <f>IF(NOT(ISBLANK(F605)),SUMIF(DETALHADO!D:D, F605,DETALHADO!C:C),"")</f>
        <v/>
      </c>
    </row>
    <row r="606" ht="15.75" customHeight="1">
      <c r="F606" s="69"/>
      <c r="G606" s="60" t="str">
        <f>IF(NOT(ISBLANK(F606)),SUMIF(DETALHADO!D:D, F606,DETALHADO!C:C),"")</f>
        <v/>
      </c>
    </row>
    <row r="607" ht="15.75" customHeight="1">
      <c r="F607" s="69"/>
      <c r="G607" s="60" t="str">
        <f>IF(NOT(ISBLANK(F607)),SUMIF(DETALHADO!D:D, F607,DETALHADO!C:C),"")</f>
        <v/>
      </c>
    </row>
    <row r="608" ht="15.75" customHeight="1">
      <c r="F608" s="69"/>
      <c r="G608" s="60" t="str">
        <f>IF(NOT(ISBLANK(F608)),SUMIF(DETALHADO!D:D, F608,DETALHADO!C:C),"")</f>
        <v/>
      </c>
    </row>
    <row r="609" ht="15.75" customHeight="1">
      <c r="F609" s="69"/>
      <c r="G609" s="60" t="str">
        <f>IF(NOT(ISBLANK(F609)),SUMIF(DETALHADO!D:D, F609,DETALHADO!C:C),"")</f>
        <v/>
      </c>
    </row>
    <row r="610" ht="15.75" customHeight="1">
      <c r="F610" s="69"/>
      <c r="G610" s="60" t="str">
        <f>IF(NOT(ISBLANK(F610)),SUMIF(DETALHADO!D:D, F610,DETALHADO!C:C),"")</f>
        <v/>
      </c>
    </row>
    <row r="611" ht="15.75" customHeight="1">
      <c r="F611" s="69"/>
      <c r="G611" s="60" t="str">
        <f>IF(NOT(ISBLANK(F611)),SUMIF(DETALHADO!D:D, F611,DETALHADO!C:C),"")</f>
        <v/>
      </c>
    </row>
    <row r="612" ht="15.75" customHeight="1">
      <c r="F612" s="69"/>
      <c r="G612" s="60" t="str">
        <f>IF(NOT(ISBLANK(F612)),SUMIF(DETALHADO!D:D, F612,DETALHADO!C:C),"")</f>
        <v/>
      </c>
    </row>
    <row r="613" ht="15.75" customHeight="1">
      <c r="F613" s="69"/>
      <c r="G613" s="60" t="str">
        <f>IF(NOT(ISBLANK(F613)),SUMIF(DETALHADO!D:D, F613,DETALHADO!C:C),"")</f>
        <v/>
      </c>
    </row>
    <row r="614" ht="15.75" customHeight="1">
      <c r="F614" s="69"/>
      <c r="G614" s="60" t="str">
        <f>IF(NOT(ISBLANK(F614)),SUMIF(DETALHADO!D:D, F614,DETALHADO!C:C),"")</f>
        <v/>
      </c>
    </row>
    <row r="615" ht="15.75" customHeight="1">
      <c r="F615" s="69"/>
      <c r="G615" s="60" t="str">
        <f>IF(NOT(ISBLANK(F615)),SUMIF(DETALHADO!D:D, F615,DETALHADO!C:C),"")</f>
        <v/>
      </c>
    </row>
    <row r="616" ht="15.75" customHeight="1">
      <c r="F616" s="69"/>
      <c r="G616" s="60" t="str">
        <f>IF(NOT(ISBLANK(F616)),SUMIF(DETALHADO!D:D, F616,DETALHADO!C:C),"")</f>
        <v/>
      </c>
    </row>
    <row r="617" ht="15.75" customHeight="1">
      <c r="F617" s="69"/>
      <c r="G617" s="60" t="str">
        <f>IF(NOT(ISBLANK(F617)),SUMIF(DETALHADO!D:D, F617,DETALHADO!C:C),"")</f>
        <v/>
      </c>
    </row>
    <row r="618" ht="15.75" customHeight="1">
      <c r="F618" s="69"/>
      <c r="G618" s="60" t="str">
        <f>IF(NOT(ISBLANK(F618)),SUMIF(DETALHADO!D:D, F618,DETALHADO!C:C),"")</f>
        <v/>
      </c>
    </row>
    <row r="619" ht="15.75" customHeight="1">
      <c r="F619" s="69"/>
      <c r="G619" s="60" t="str">
        <f>IF(NOT(ISBLANK(F619)),SUMIF(DETALHADO!D:D, F619,DETALHADO!C:C),"")</f>
        <v/>
      </c>
    </row>
    <row r="620" ht="15.75" customHeight="1">
      <c r="F620" s="69"/>
      <c r="G620" s="60" t="str">
        <f>IF(NOT(ISBLANK(F620)),SUMIF(DETALHADO!D:D, F620,DETALHADO!C:C),"")</f>
        <v/>
      </c>
    </row>
    <row r="621" ht="15.75" customHeight="1">
      <c r="F621" s="69"/>
      <c r="G621" s="60" t="str">
        <f>IF(NOT(ISBLANK(F621)),SUMIF(DETALHADO!D:D, F621,DETALHADO!C:C),"")</f>
        <v/>
      </c>
    </row>
    <row r="622" ht="15.75" customHeight="1">
      <c r="F622" s="69"/>
      <c r="G622" s="60" t="str">
        <f>IF(NOT(ISBLANK(F622)),SUMIF(DETALHADO!D:D, F622,DETALHADO!C:C),"")</f>
        <v/>
      </c>
    </row>
    <row r="623" ht="15.75" customHeight="1">
      <c r="F623" s="69"/>
      <c r="G623" s="60" t="str">
        <f>IF(NOT(ISBLANK(F623)),SUMIF(DETALHADO!D:D, F623,DETALHADO!C:C),"")</f>
        <v/>
      </c>
    </row>
    <row r="624" ht="15.75" customHeight="1">
      <c r="F624" s="69"/>
      <c r="G624" s="60" t="str">
        <f>IF(NOT(ISBLANK(F624)),SUMIF(DETALHADO!D:D, F624,DETALHADO!C:C),"")</f>
        <v/>
      </c>
    </row>
    <row r="625" ht="15.75" customHeight="1">
      <c r="F625" s="69"/>
      <c r="G625" s="60" t="str">
        <f>IF(NOT(ISBLANK(F625)),SUMIF(DETALHADO!D:D, F625,DETALHADO!C:C),"")</f>
        <v/>
      </c>
    </row>
    <row r="626" ht="15.75" customHeight="1">
      <c r="F626" s="69"/>
      <c r="G626" s="60" t="str">
        <f>IF(NOT(ISBLANK(F626)),SUMIF(DETALHADO!D:D, F626,DETALHADO!C:C),"")</f>
        <v/>
      </c>
    </row>
    <row r="627" ht="15.75" customHeight="1">
      <c r="F627" s="69"/>
      <c r="G627" s="60" t="str">
        <f>IF(NOT(ISBLANK(F627)),SUMIF(DETALHADO!D:D, F627,DETALHADO!C:C),"")</f>
        <v/>
      </c>
    </row>
    <row r="628" ht="15.75" customHeight="1">
      <c r="F628" s="69"/>
      <c r="G628" s="60" t="str">
        <f>IF(NOT(ISBLANK(F628)),SUMIF(DETALHADO!D:D, F628,DETALHADO!C:C),"")</f>
        <v/>
      </c>
    </row>
    <row r="629" ht="15.75" customHeight="1">
      <c r="F629" s="69"/>
      <c r="G629" s="60" t="str">
        <f>IF(NOT(ISBLANK(F629)),SUMIF(DETALHADO!D:D, F629,DETALHADO!C:C),"")</f>
        <v/>
      </c>
    </row>
    <row r="630" ht="15.75" customHeight="1">
      <c r="F630" s="69"/>
      <c r="G630" s="60" t="str">
        <f>IF(NOT(ISBLANK(F630)),SUMIF(DETALHADO!D:D, F630,DETALHADO!C:C),"")</f>
        <v/>
      </c>
    </row>
    <row r="631" ht="15.75" customHeight="1">
      <c r="F631" s="69"/>
      <c r="G631" s="60" t="str">
        <f>IF(NOT(ISBLANK(F631)),SUMIF(DETALHADO!D:D, F631,DETALHADO!C:C),"")</f>
        <v/>
      </c>
    </row>
    <row r="632" ht="15.75" customHeight="1">
      <c r="F632" s="69"/>
      <c r="G632" s="60" t="str">
        <f>IF(NOT(ISBLANK(F632)),SUMIF(DETALHADO!D:D, F632,DETALHADO!C:C),"")</f>
        <v/>
      </c>
    </row>
    <row r="633" ht="15.75" customHeight="1">
      <c r="F633" s="69"/>
      <c r="G633" s="60" t="str">
        <f>IF(NOT(ISBLANK(F633)),SUMIF(DETALHADO!D:D, F633,DETALHADO!C:C),"")</f>
        <v/>
      </c>
    </row>
    <row r="634" ht="15.75" customHeight="1">
      <c r="F634" s="69"/>
      <c r="G634" s="60" t="str">
        <f>IF(NOT(ISBLANK(F634)),SUMIF(DETALHADO!D:D, F634,DETALHADO!C:C),"")</f>
        <v/>
      </c>
    </row>
    <row r="635" ht="15.75" customHeight="1">
      <c r="F635" s="69"/>
      <c r="G635" s="60" t="str">
        <f>IF(NOT(ISBLANK(F635)),SUMIF(DETALHADO!D:D, F635,DETALHADO!C:C),"")</f>
        <v/>
      </c>
    </row>
    <row r="636" ht="15.75" customHeight="1">
      <c r="F636" s="69"/>
      <c r="G636" s="60" t="str">
        <f>IF(NOT(ISBLANK(F636)),SUMIF(DETALHADO!D:D, F636,DETALHADO!C:C),"")</f>
        <v/>
      </c>
    </row>
    <row r="637" ht="15.75" customHeight="1">
      <c r="F637" s="69"/>
      <c r="G637" s="60" t="str">
        <f>IF(NOT(ISBLANK(F637)),SUMIF(DETALHADO!D:D, F637,DETALHADO!C:C),"")</f>
        <v/>
      </c>
    </row>
    <row r="638" ht="15.75" customHeight="1">
      <c r="F638" s="69"/>
      <c r="G638" s="60" t="str">
        <f>IF(NOT(ISBLANK(F638)),SUMIF(DETALHADO!D:D, F638,DETALHADO!C:C),"")</f>
        <v/>
      </c>
    </row>
    <row r="639" ht="15.75" customHeight="1">
      <c r="F639" s="69"/>
      <c r="G639" s="60" t="str">
        <f>IF(NOT(ISBLANK(F639)),SUMIF(DETALHADO!D:D, F639,DETALHADO!C:C),"")</f>
        <v/>
      </c>
    </row>
    <row r="640" ht="15.75" customHeight="1">
      <c r="F640" s="69"/>
      <c r="G640" s="60" t="str">
        <f>IF(NOT(ISBLANK(F640)),SUMIF(DETALHADO!D:D, F640,DETALHADO!C:C),"")</f>
        <v/>
      </c>
    </row>
    <row r="641" ht="15.75" customHeight="1">
      <c r="F641" s="69"/>
      <c r="G641" s="60" t="str">
        <f>IF(NOT(ISBLANK(F641)),SUMIF(DETALHADO!D:D, F641,DETALHADO!C:C),"")</f>
        <v/>
      </c>
    </row>
    <row r="642" ht="15.75" customHeight="1">
      <c r="F642" s="69"/>
      <c r="G642" s="60" t="str">
        <f>IF(NOT(ISBLANK(F642)),SUMIF(DETALHADO!D:D, F642,DETALHADO!C:C),"")</f>
        <v/>
      </c>
    </row>
    <row r="643" ht="15.75" customHeight="1">
      <c r="F643" s="69"/>
      <c r="G643" s="60" t="str">
        <f>IF(NOT(ISBLANK(F643)),SUMIF(DETALHADO!D:D, F643,DETALHADO!C:C),"")</f>
        <v/>
      </c>
    </row>
    <row r="644" ht="15.75" customHeight="1">
      <c r="F644" s="69"/>
      <c r="G644" s="60" t="str">
        <f>IF(NOT(ISBLANK(F644)),SUMIF(DETALHADO!D:D, F644,DETALHADO!C:C),"")</f>
        <v/>
      </c>
    </row>
    <row r="645" ht="15.75" customHeight="1">
      <c r="F645" s="69"/>
      <c r="G645" s="60" t="str">
        <f>IF(NOT(ISBLANK(F645)),SUMIF(DETALHADO!D:D, F645,DETALHADO!C:C),"")</f>
        <v/>
      </c>
    </row>
    <row r="646" ht="15.75" customHeight="1">
      <c r="F646" s="69"/>
      <c r="G646" s="60" t="str">
        <f>IF(NOT(ISBLANK(F646)),SUMIF(DETALHADO!D:D, F646,DETALHADO!C:C),"")</f>
        <v/>
      </c>
    </row>
    <row r="647" ht="15.75" customHeight="1">
      <c r="F647" s="69"/>
      <c r="G647" s="60" t="str">
        <f>IF(NOT(ISBLANK(F647)),SUMIF(DETALHADO!D:D, F647,DETALHADO!C:C),"")</f>
        <v/>
      </c>
    </row>
    <row r="648" ht="15.75" customHeight="1">
      <c r="F648" s="69"/>
      <c r="G648" s="60" t="str">
        <f>IF(NOT(ISBLANK(F648)),SUMIF(DETALHADO!D:D, F648,DETALHADO!C:C),"")</f>
        <v/>
      </c>
    </row>
    <row r="649" ht="15.75" customHeight="1">
      <c r="F649" s="69"/>
      <c r="G649" s="60" t="str">
        <f>IF(NOT(ISBLANK(F649)),SUMIF(DETALHADO!D:D, F649,DETALHADO!C:C),"")</f>
        <v/>
      </c>
    </row>
    <row r="650" ht="15.75" customHeight="1">
      <c r="F650" s="69"/>
      <c r="G650" s="60" t="str">
        <f>IF(NOT(ISBLANK(F650)),SUMIF(DETALHADO!D:D, F650,DETALHADO!C:C),"")</f>
        <v/>
      </c>
    </row>
    <row r="651" ht="15.75" customHeight="1">
      <c r="F651" s="69"/>
      <c r="G651" s="60" t="str">
        <f>IF(NOT(ISBLANK(F651)),SUMIF(DETALHADO!D:D, F651,DETALHADO!C:C),"")</f>
        <v/>
      </c>
    </row>
    <row r="652" ht="15.75" customHeight="1">
      <c r="F652" s="69"/>
      <c r="G652" s="60" t="str">
        <f>IF(NOT(ISBLANK(F652)),SUMIF(DETALHADO!D:D, F652,DETALHADO!C:C),"")</f>
        <v/>
      </c>
    </row>
    <row r="653" ht="15.75" customHeight="1">
      <c r="F653" s="69"/>
      <c r="G653" s="60" t="str">
        <f>IF(NOT(ISBLANK(F653)),SUMIF(DETALHADO!D:D, F653,DETALHADO!C:C),"")</f>
        <v/>
      </c>
    </row>
    <row r="654" ht="15.75" customHeight="1">
      <c r="F654" s="69"/>
      <c r="G654" s="60" t="str">
        <f>IF(NOT(ISBLANK(F654)),SUMIF(DETALHADO!D:D, F654,DETALHADO!C:C),"")</f>
        <v/>
      </c>
    </row>
    <row r="655" ht="15.75" customHeight="1">
      <c r="F655" s="69"/>
      <c r="G655" s="60" t="str">
        <f>IF(NOT(ISBLANK(F655)),SUMIF(DETALHADO!D:D, F655,DETALHADO!C:C),"")</f>
        <v/>
      </c>
    </row>
    <row r="656" ht="15.75" customHeight="1">
      <c r="F656" s="69"/>
      <c r="G656" s="60" t="str">
        <f>IF(NOT(ISBLANK(F656)),SUMIF(DETALHADO!D:D, F656,DETALHADO!C:C),"")</f>
        <v/>
      </c>
    </row>
    <row r="657" ht="15.75" customHeight="1">
      <c r="F657" s="69"/>
      <c r="G657" s="60" t="str">
        <f>IF(NOT(ISBLANK(F657)),SUMIF(DETALHADO!D:D, F657,DETALHADO!C:C),"")</f>
        <v/>
      </c>
    </row>
    <row r="658" ht="15.75" customHeight="1">
      <c r="F658" s="69"/>
      <c r="G658" s="60" t="str">
        <f>IF(NOT(ISBLANK(F658)),SUMIF(DETALHADO!D:D, F658,DETALHADO!C:C),"")</f>
        <v/>
      </c>
    </row>
    <row r="659" ht="15.75" customHeight="1">
      <c r="F659" s="69"/>
      <c r="G659" s="60" t="str">
        <f>IF(NOT(ISBLANK(F659)),SUMIF(DETALHADO!D:D, F659,DETALHADO!C:C),"")</f>
        <v/>
      </c>
    </row>
    <row r="660" ht="15.75" customHeight="1">
      <c r="F660" s="69"/>
      <c r="G660" s="60" t="str">
        <f>IF(NOT(ISBLANK(F660)),SUMIF(DETALHADO!D:D, F660,DETALHADO!C:C),"")</f>
        <v/>
      </c>
    </row>
    <row r="661" ht="15.75" customHeight="1">
      <c r="F661" s="69"/>
      <c r="G661" s="60" t="str">
        <f>IF(NOT(ISBLANK(F661)),SUMIF(DETALHADO!D:D, F661,DETALHADO!C:C),"")</f>
        <v/>
      </c>
    </row>
    <row r="662" ht="15.75" customHeight="1">
      <c r="F662" s="69"/>
      <c r="G662" s="60" t="str">
        <f>IF(NOT(ISBLANK(F662)),SUMIF(DETALHADO!D:D, F662,DETALHADO!C:C),"")</f>
        <v/>
      </c>
    </row>
    <row r="663" ht="15.75" customHeight="1">
      <c r="F663" s="69"/>
      <c r="G663" s="60" t="str">
        <f>IF(NOT(ISBLANK(F663)),SUMIF(DETALHADO!D:D, F663,DETALHADO!C:C),"")</f>
        <v/>
      </c>
    </row>
    <row r="664" ht="15.75" customHeight="1">
      <c r="F664" s="69"/>
      <c r="G664" s="60" t="str">
        <f>IF(NOT(ISBLANK(F664)),SUMIF(DETALHADO!D:D, F664,DETALHADO!C:C),"")</f>
        <v/>
      </c>
    </row>
    <row r="665" ht="15.75" customHeight="1">
      <c r="F665" s="69"/>
      <c r="G665" s="60" t="str">
        <f>IF(NOT(ISBLANK(F665)),SUMIF(DETALHADO!D:D, F665,DETALHADO!C:C),"")</f>
        <v/>
      </c>
    </row>
    <row r="666" ht="15.75" customHeight="1">
      <c r="F666" s="69"/>
      <c r="G666" s="60" t="str">
        <f>IF(NOT(ISBLANK(F666)),SUMIF(DETALHADO!D:D, F666,DETALHADO!C:C),"")</f>
        <v/>
      </c>
    </row>
    <row r="667" ht="15.75" customHeight="1">
      <c r="F667" s="69"/>
      <c r="G667" s="60" t="str">
        <f>IF(NOT(ISBLANK(F667)),SUMIF(DETALHADO!D:D, F667,DETALHADO!C:C),"")</f>
        <v/>
      </c>
    </row>
    <row r="668" ht="15.75" customHeight="1">
      <c r="F668" s="69"/>
      <c r="G668" s="60" t="str">
        <f>IF(NOT(ISBLANK(F668)),SUMIF(DETALHADO!D:D, F668,DETALHADO!C:C),"")</f>
        <v/>
      </c>
    </row>
    <row r="669" ht="15.75" customHeight="1">
      <c r="F669" s="69"/>
      <c r="G669" s="60" t="str">
        <f>IF(NOT(ISBLANK(F669)),SUMIF(DETALHADO!D:D, F669,DETALHADO!C:C),"")</f>
        <v/>
      </c>
    </row>
    <row r="670" ht="15.75" customHeight="1">
      <c r="F670" s="69"/>
      <c r="G670" s="60" t="str">
        <f>IF(NOT(ISBLANK(F670)),SUMIF(DETALHADO!D:D, F670,DETALHADO!C:C),"")</f>
        <v/>
      </c>
    </row>
    <row r="671" ht="15.75" customHeight="1">
      <c r="F671" s="69"/>
      <c r="G671" s="60" t="str">
        <f>IF(NOT(ISBLANK(F671)),SUMIF(DETALHADO!D:D, F671,DETALHADO!C:C),"")</f>
        <v/>
      </c>
    </row>
    <row r="672" ht="15.75" customHeight="1">
      <c r="F672" s="69"/>
      <c r="G672" s="60" t="str">
        <f>IF(NOT(ISBLANK(F672)),SUMIF(DETALHADO!D:D, F672,DETALHADO!C:C),"")</f>
        <v/>
      </c>
    </row>
    <row r="673" ht="15.75" customHeight="1">
      <c r="F673" s="69"/>
      <c r="G673" s="60" t="str">
        <f>IF(NOT(ISBLANK(F673)),SUMIF(DETALHADO!D:D, F673,DETALHADO!C:C),"")</f>
        <v/>
      </c>
    </row>
    <row r="674" ht="15.75" customHeight="1">
      <c r="F674" s="69"/>
      <c r="G674" s="60" t="str">
        <f>IF(NOT(ISBLANK(F674)),SUMIF(DETALHADO!D:D, F674,DETALHADO!C:C),"")</f>
        <v/>
      </c>
    </row>
    <row r="675" ht="15.75" customHeight="1">
      <c r="F675" s="69"/>
      <c r="G675" s="60" t="str">
        <f>IF(NOT(ISBLANK(F675)),SUMIF(DETALHADO!D:D, F675,DETALHADO!C:C),"")</f>
        <v/>
      </c>
    </row>
    <row r="676" ht="15.75" customHeight="1">
      <c r="F676" s="69"/>
      <c r="G676" s="60" t="str">
        <f>IF(NOT(ISBLANK(F676)),SUMIF(DETALHADO!D:D, F676,DETALHADO!C:C),"")</f>
        <v/>
      </c>
    </row>
    <row r="677" ht="15.75" customHeight="1">
      <c r="F677" s="69"/>
      <c r="G677" s="60" t="str">
        <f>IF(NOT(ISBLANK(F677)),SUMIF(DETALHADO!D:D, F677,DETALHADO!C:C),"")</f>
        <v/>
      </c>
    </row>
    <row r="678" ht="15.75" customHeight="1">
      <c r="F678" s="69"/>
      <c r="G678" s="60" t="str">
        <f>IF(NOT(ISBLANK(F678)),SUMIF(DETALHADO!D:D, F678,DETALHADO!C:C),"")</f>
        <v/>
      </c>
    </row>
    <row r="679" ht="15.75" customHeight="1">
      <c r="F679" s="69"/>
      <c r="G679" s="60" t="str">
        <f>IF(NOT(ISBLANK(F679)),SUMIF(DETALHADO!D:D, F679,DETALHADO!C:C),"")</f>
        <v/>
      </c>
    </row>
    <row r="680" ht="15.75" customHeight="1">
      <c r="F680" s="69"/>
      <c r="G680" s="60" t="str">
        <f>IF(NOT(ISBLANK(F680)),SUMIF(DETALHADO!D:D, F680,DETALHADO!C:C),"")</f>
        <v/>
      </c>
    </row>
    <row r="681" ht="15.75" customHeight="1">
      <c r="F681" s="69"/>
      <c r="G681" s="60" t="str">
        <f>IF(NOT(ISBLANK(F681)),SUMIF(DETALHADO!D:D, F681,DETALHADO!C:C),"")</f>
        <v/>
      </c>
    </row>
    <row r="682" ht="15.75" customHeight="1">
      <c r="F682" s="69"/>
      <c r="G682" s="60" t="str">
        <f>IF(NOT(ISBLANK(F682)),SUMIF(DETALHADO!D:D, F682,DETALHADO!C:C),"")</f>
        <v/>
      </c>
    </row>
    <row r="683" ht="15.75" customHeight="1">
      <c r="F683" s="69"/>
      <c r="G683" s="60" t="str">
        <f>IF(NOT(ISBLANK(F683)),SUMIF(DETALHADO!D:D, F683,DETALHADO!C:C),"")</f>
        <v/>
      </c>
    </row>
    <row r="684" ht="15.75" customHeight="1">
      <c r="F684" s="69"/>
      <c r="G684" s="60" t="str">
        <f>IF(NOT(ISBLANK(F684)),SUMIF(DETALHADO!D:D, F684,DETALHADO!C:C),"")</f>
        <v/>
      </c>
    </row>
    <row r="685" ht="15.75" customHeight="1">
      <c r="F685" s="69"/>
      <c r="G685" s="60" t="str">
        <f>IF(NOT(ISBLANK(F685)),SUMIF(DETALHADO!D:D, F685,DETALHADO!C:C),"")</f>
        <v/>
      </c>
    </row>
    <row r="686" ht="15.75" customHeight="1">
      <c r="F686" s="69"/>
      <c r="G686" s="60" t="str">
        <f>IF(NOT(ISBLANK(F686)),SUMIF(DETALHADO!D:D, F686,DETALHADO!C:C),"")</f>
        <v/>
      </c>
    </row>
    <row r="687" ht="15.75" customHeight="1">
      <c r="F687" s="69"/>
      <c r="G687" s="60" t="str">
        <f>IF(NOT(ISBLANK(F687)),SUMIF(DETALHADO!D:D, F687,DETALHADO!C:C),"")</f>
        <v/>
      </c>
    </row>
    <row r="688" ht="15.75" customHeight="1">
      <c r="F688" s="69"/>
      <c r="G688" s="60" t="str">
        <f>IF(NOT(ISBLANK(F688)),SUMIF(DETALHADO!D:D, F688,DETALHADO!C:C),"")</f>
        <v/>
      </c>
    </row>
    <row r="689" ht="15.75" customHeight="1">
      <c r="F689" s="69"/>
      <c r="G689" s="60" t="str">
        <f>IF(NOT(ISBLANK(F689)),SUMIF(DETALHADO!D:D, F689,DETALHADO!C:C),"")</f>
        <v/>
      </c>
    </row>
    <row r="690" ht="15.75" customHeight="1">
      <c r="F690" s="69"/>
      <c r="G690" s="60" t="str">
        <f>IF(NOT(ISBLANK(F690)),SUMIF(DETALHADO!D:D, F690,DETALHADO!C:C),"")</f>
        <v/>
      </c>
    </row>
    <row r="691" ht="15.75" customHeight="1">
      <c r="F691" s="69"/>
      <c r="G691" s="60" t="str">
        <f>IF(NOT(ISBLANK(F691)),SUMIF(DETALHADO!D:D, F691,DETALHADO!C:C),"")</f>
        <v/>
      </c>
    </row>
    <row r="692" ht="15.75" customHeight="1">
      <c r="F692" s="69"/>
      <c r="G692" s="60" t="str">
        <f>IF(NOT(ISBLANK(F692)),SUMIF(DETALHADO!D:D, F692,DETALHADO!C:C),"")</f>
        <v/>
      </c>
    </row>
    <row r="693" ht="15.75" customHeight="1">
      <c r="F693" s="69"/>
      <c r="G693" s="60" t="str">
        <f>IF(NOT(ISBLANK(F693)),SUMIF(DETALHADO!D:D, F693,DETALHADO!C:C),"")</f>
        <v/>
      </c>
    </row>
    <row r="694" ht="15.75" customHeight="1">
      <c r="F694" s="69"/>
      <c r="G694" s="60" t="str">
        <f>IF(NOT(ISBLANK(F694)),SUMIF(DETALHADO!D:D, F694,DETALHADO!C:C),"")</f>
        <v/>
      </c>
    </row>
    <row r="695" ht="15.75" customHeight="1">
      <c r="F695" s="69"/>
      <c r="G695" s="60" t="str">
        <f>IF(NOT(ISBLANK(F695)),SUMIF(DETALHADO!D:D, F695,DETALHADO!C:C),"")</f>
        <v/>
      </c>
    </row>
    <row r="696" ht="15.75" customHeight="1">
      <c r="F696" s="69"/>
      <c r="G696" s="60" t="str">
        <f>IF(NOT(ISBLANK(F696)),SUMIF(DETALHADO!D:D, F696,DETALHADO!C:C),"")</f>
        <v/>
      </c>
    </row>
    <row r="697" ht="15.75" customHeight="1">
      <c r="F697" s="69"/>
      <c r="G697" s="60" t="str">
        <f>IF(NOT(ISBLANK(F697)),SUMIF(DETALHADO!D:D, F697,DETALHADO!C:C),"")</f>
        <v/>
      </c>
    </row>
    <row r="698" ht="15.75" customHeight="1">
      <c r="F698" s="69"/>
      <c r="G698" s="60" t="str">
        <f>IF(NOT(ISBLANK(F698)),SUMIF(DETALHADO!D:D, F698,DETALHADO!C:C),"")</f>
        <v/>
      </c>
    </row>
    <row r="699" ht="15.75" customHeight="1">
      <c r="F699" s="69"/>
      <c r="G699" s="60" t="str">
        <f>IF(NOT(ISBLANK(F699)),SUMIF(DETALHADO!D:D, F699,DETALHADO!C:C),"")</f>
        <v/>
      </c>
    </row>
    <row r="700" ht="15.75" customHeight="1">
      <c r="F700" s="69"/>
      <c r="G700" s="60" t="str">
        <f>IF(NOT(ISBLANK(F700)),SUMIF(DETALHADO!D:D, F700,DETALHADO!C:C),"")</f>
        <v/>
      </c>
    </row>
    <row r="701" ht="15.75" customHeight="1">
      <c r="F701" s="69"/>
      <c r="G701" s="60" t="str">
        <f>IF(NOT(ISBLANK(F701)),SUMIF(DETALHADO!D:D, F701,DETALHADO!C:C),"")</f>
        <v/>
      </c>
    </row>
    <row r="702" ht="15.75" customHeight="1">
      <c r="F702" s="69"/>
      <c r="G702" s="60" t="str">
        <f>IF(NOT(ISBLANK(F702)),SUMIF(DETALHADO!D:D, F702,DETALHADO!C:C),"")</f>
        <v/>
      </c>
    </row>
    <row r="703" ht="15.75" customHeight="1">
      <c r="F703" s="69"/>
      <c r="G703" s="60" t="str">
        <f>IF(NOT(ISBLANK(F703)),SUMIF(DETALHADO!D:D, F703,DETALHADO!C:C),"")</f>
        <v/>
      </c>
    </row>
    <row r="704" ht="15.75" customHeight="1">
      <c r="F704" s="69"/>
      <c r="G704" s="60" t="str">
        <f>IF(NOT(ISBLANK(F704)),SUMIF(DETALHADO!D:D, F704,DETALHADO!C:C),"")</f>
        <v/>
      </c>
    </row>
    <row r="705" ht="15.75" customHeight="1">
      <c r="F705" s="69"/>
      <c r="G705" s="60" t="str">
        <f>IF(NOT(ISBLANK(F705)),SUMIF(DETALHADO!D:D, F705,DETALHADO!C:C),"")</f>
        <v/>
      </c>
    </row>
    <row r="706" ht="15.75" customHeight="1">
      <c r="F706" s="69"/>
      <c r="G706" s="60" t="str">
        <f>IF(NOT(ISBLANK(F706)),SUMIF(DETALHADO!D:D, F706,DETALHADO!C:C),"")</f>
        <v/>
      </c>
    </row>
    <row r="707" ht="15.75" customHeight="1">
      <c r="F707" s="69"/>
      <c r="G707" s="60" t="str">
        <f>IF(NOT(ISBLANK(F707)),SUMIF(DETALHADO!D:D, F707,DETALHADO!C:C),"")</f>
        <v/>
      </c>
    </row>
    <row r="708" ht="15.75" customHeight="1">
      <c r="F708" s="69"/>
      <c r="G708" s="60" t="str">
        <f>IF(NOT(ISBLANK(F708)),SUMIF(DETALHADO!D:D, F708,DETALHADO!C:C),"")</f>
        <v/>
      </c>
    </row>
    <row r="709" ht="15.75" customHeight="1">
      <c r="F709" s="69"/>
      <c r="G709" s="60" t="str">
        <f>IF(NOT(ISBLANK(F709)),SUMIF(DETALHADO!D:D, F709,DETALHADO!C:C),"")</f>
        <v/>
      </c>
    </row>
    <row r="710" ht="15.75" customHeight="1">
      <c r="F710" s="69"/>
      <c r="G710" s="60" t="str">
        <f>IF(NOT(ISBLANK(F710)),SUMIF(DETALHADO!D:D, F710,DETALHADO!C:C),"")</f>
        <v/>
      </c>
    </row>
    <row r="711" ht="15.75" customHeight="1">
      <c r="F711" s="69"/>
      <c r="G711" s="60" t="str">
        <f>IF(NOT(ISBLANK(F711)),SUMIF(DETALHADO!D:D, F711,DETALHADO!C:C),"")</f>
        <v/>
      </c>
    </row>
    <row r="712" ht="15.75" customHeight="1">
      <c r="F712" s="69"/>
      <c r="G712" s="60" t="str">
        <f>IF(NOT(ISBLANK(F712)),SUMIF(DETALHADO!D:D, F712,DETALHADO!C:C),"")</f>
        <v/>
      </c>
    </row>
    <row r="713" ht="15.75" customHeight="1">
      <c r="F713" s="69"/>
      <c r="G713" s="60" t="str">
        <f>IF(NOT(ISBLANK(F713)),SUMIF(DETALHADO!D:D, F713,DETALHADO!C:C),"")</f>
        <v/>
      </c>
    </row>
    <row r="714" ht="15.75" customHeight="1">
      <c r="F714" s="69"/>
      <c r="G714" s="60" t="str">
        <f>IF(NOT(ISBLANK(F714)),SUMIF(DETALHADO!D:D, F714,DETALHADO!C:C),"")</f>
        <v/>
      </c>
    </row>
    <row r="715" ht="15.75" customHeight="1">
      <c r="F715" s="69"/>
      <c r="G715" s="60" t="str">
        <f>IF(NOT(ISBLANK(F715)),SUMIF(DETALHADO!D:D, F715,DETALHADO!C:C),"")</f>
        <v/>
      </c>
    </row>
    <row r="716" ht="15.75" customHeight="1">
      <c r="F716" s="69"/>
      <c r="G716" s="60" t="str">
        <f>IF(NOT(ISBLANK(F716)),SUMIF(DETALHADO!D:D, F716,DETALHADO!C:C),"")</f>
        <v/>
      </c>
    </row>
    <row r="717" ht="15.75" customHeight="1">
      <c r="F717" s="69"/>
      <c r="G717" s="60" t="str">
        <f>IF(NOT(ISBLANK(F717)),SUMIF(DETALHADO!D:D, F717,DETALHADO!C:C),"")</f>
        <v/>
      </c>
    </row>
    <row r="718" ht="15.75" customHeight="1">
      <c r="F718" s="69"/>
      <c r="G718" s="60" t="str">
        <f>IF(NOT(ISBLANK(F718)),SUMIF(DETALHADO!D:D, F718,DETALHADO!C:C),"")</f>
        <v/>
      </c>
    </row>
    <row r="719" ht="15.75" customHeight="1">
      <c r="F719" s="69"/>
      <c r="G719" s="60" t="str">
        <f>IF(NOT(ISBLANK(F719)),SUMIF(DETALHADO!D:D, F719,DETALHADO!C:C),"")</f>
        <v/>
      </c>
    </row>
    <row r="720" ht="15.75" customHeight="1">
      <c r="F720" s="69"/>
      <c r="G720" s="60" t="str">
        <f>IF(NOT(ISBLANK(F720)),SUMIF(DETALHADO!D:D, F720,DETALHADO!C:C),"")</f>
        <v/>
      </c>
    </row>
    <row r="721" ht="15.75" customHeight="1">
      <c r="F721" s="69"/>
      <c r="G721" s="60" t="str">
        <f>IF(NOT(ISBLANK(F721)),SUMIF(DETALHADO!D:D, F721,DETALHADO!C:C),"")</f>
        <v/>
      </c>
    </row>
    <row r="722" ht="15.75" customHeight="1">
      <c r="F722" s="69"/>
      <c r="G722" s="60" t="str">
        <f>IF(NOT(ISBLANK(F722)),SUMIF(DETALHADO!D:D, F722,DETALHADO!C:C),"")</f>
        <v/>
      </c>
    </row>
    <row r="723" ht="15.75" customHeight="1">
      <c r="F723" s="69"/>
      <c r="G723" s="60" t="str">
        <f>IF(NOT(ISBLANK(F723)),SUMIF(DETALHADO!D:D, F723,DETALHADO!C:C),"")</f>
        <v/>
      </c>
    </row>
    <row r="724" ht="15.75" customHeight="1">
      <c r="F724" s="69"/>
      <c r="G724" s="60" t="str">
        <f>IF(NOT(ISBLANK(F724)),SUMIF(DETALHADO!D:D, F724,DETALHADO!C:C),"")</f>
        <v/>
      </c>
    </row>
    <row r="725" ht="15.75" customHeight="1">
      <c r="F725" s="69"/>
      <c r="G725" s="60" t="str">
        <f>IF(NOT(ISBLANK(F725)),SUMIF(DETALHADO!D:D, F725,DETALHADO!C:C),"")</f>
        <v/>
      </c>
    </row>
    <row r="726" ht="15.75" customHeight="1">
      <c r="F726" s="69"/>
      <c r="G726" s="60" t="str">
        <f>IF(NOT(ISBLANK(F726)),SUMIF(DETALHADO!D:D, F726,DETALHADO!C:C),"")</f>
        <v/>
      </c>
    </row>
    <row r="727" ht="15.75" customHeight="1">
      <c r="F727" s="69"/>
      <c r="G727" s="60" t="str">
        <f>IF(NOT(ISBLANK(F727)),SUMIF(DETALHADO!D:D, F727,DETALHADO!C:C),"")</f>
        <v/>
      </c>
    </row>
    <row r="728" ht="15.75" customHeight="1">
      <c r="F728" s="69"/>
      <c r="G728" s="60" t="str">
        <f>IF(NOT(ISBLANK(F728)),SUMIF(DETALHADO!D:D, F728,DETALHADO!C:C),"")</f>
        <v/>
      </c>
    </row>
    <row r="729" ht="15.75" customHeight="1">
      <c r="F729" s="69"/>
      <c r="G729" s="60" t="str">
        <f>IF(NOT(ISBLANK(F729)),SUMIF(DETALHADO!D:D, F729,DETALHADO!C:C),"")</f>
        <v/>
      </c>
    </row>
    <row r="730" ht="15.75" customHeight="1">
      <c r="F730" s="69"/>
      <c r="G730" s="60" t="str">
        <f>IF(NOT(ISBLANK(F730)),SUMIF(DETALHADO!D:D, F730,DETALHADO!C:C),"")</f>
        <v/>
      </c>
    </row>
    <row r="731" ht="15.75" customHeight="1">
      <c r="F731" s="69"/>
      <c r="G731" s="60" t="str">
        <f>IF(NOT(ISBLANK(F731)),SUMIF(DETALHADO!D:D, F731,DETALHADO!C:C),"")</f>
        <v/>
      </c>
    </row>
    <row r="732" ht="15.75" customHeight="1">
      <c r="F732" s="69"/>
      <c r="G732" s="60" t="str">
        <f>IF(NOT(ISBLANK(F732)),SUMIF(DETALHADO!D:D, F732,DETALHADO!C:C),"")</f>
        <v/>
      </c>
    </row>
    <row r="733" ht="15.75" customHeight="1">
      <c r="F733" s="69"/>
      <c r="G733" s="60" t="str">
        <f>IF(NOT(ISBLANK(F733)),SUMIF(DETALHADO!D:D, F733,DETALHADO!C:C),"")</f>
        <v/>
      </c>
    </row>
    <row r="734" ht="15.75" customHeight="1">
      <c r="F734" s="69"/>
      <c r="G734" s="60" t="str">
        <f>IF(NOT(ISBLANK(F734)),SUMIF(DETALHADO!D:D, F734,DETALHADO!C:C),"")</f>
        <v/>
      </c>
    </row>
    <row r="735" ht="15.75" customHeight="1">
      <c r="F735" s="69"/>
      <c r="G735" s="60" t="str">
        <f>IF(NOT(ISBLANK(F735)),SUMIF(DETALHADO!D:D, F735,DETALHADO!C:C),"")</f>
        <v/>
      </c>
    </row>
    <row r="736" ht="15.75" customHeight="1">
      <c r="F736" s="69"/>
      <c r="G736" s="60" t="str">
        <f>IF(NOT(ISBLANK(F736)),SUMIF(DETALHADO!D:D, F736,DETALHADO!C:C),"")</f>
        <v/>
      </c>
    </row>
    <row r="737" ht="15.75" customHeight="1">
      <c r="F737" s="69"/>
      <c r="G737" s="60" t="str">
        <f>IF(NOT(ISBLANK(F737)),SUMIF(DETALHADO!D:D, F737,DETALHADO!C:C),"")</f>
        <v/>
      </c>
    </row>
    <row r="738" ht="15.75" customHeight="1">
      <c r="F738" s="69"/>
      <c r="G738" s="60" t="str">
        <f>IF(NOT(ISBLANK(F738)),SUMIF(DETALHADO!D:D, F738,DETALHADO!C:C),"")</f>
        <v/>
      </c>
    </row>
    <row r="739" ht="15.75" customHeight="1">
      <c r="F739" s="69"/>
      <c r="G739" s="60" t="str">
        <f>IF(NOT(ISBLANK(F739)),SUMIF(DETALHADO!D:D, F739,DETALHADO!C:C),"")</f>
        <v/>
      </c>
    </row>
    <row r="740" ht="15.75" customHeight="1">
      <c r="F740" s="69"/>
      <c r="G740" s="60" t="str">
        <f>IF(NOT(ISBLANK(F740)),SUMIF(DETALHADO!D:D, F740,DETALHADO!C:C),"")</f>
        <v/>
      </c>
    </row>
    <row r="741" ht="15.75" customHeight="1">
      <c r="F741" s="69"/>
      <c r="G741" s="60" t="str">
        <f>IF(NOT(ISBLANK(F741)),SUMIF(DETALHADO!D:D, F741,DETALHADO!C:C),"")</f>
        <v/>
      </c>
    </row>
    <row r="742" ht="15.75" customHeight="1">
      <c r="F742" s="69"/>
      <c r="G742" s="60" t="str">
        <f>IF(NOT(ISBLANK(F742)),SUMIF(DETALHADO!D:D, F742,DETALHADO!C:C),"")</f>
        <v/>
      </c>
    </row>
    <row r="743" ht="15.75" customHeight="1">
      <c r="F743" s="69"/>
      <c r="G743" s="60" t="str">
        <f>IF(NOT(ISBLANK(F743)),SUMIF(DETALHADO!D:D, F743,DETALHADO!C:C),"")</f>
        <v/>
      </c>
    </row>
    <row r="744" ht="15.75" customHeight="1">
      <c r="F744" s="69"/>
      <c r="G744" s="60" t="str">
        <f>IF(NOT(ISBLANK(F744)),SUMIF(DETALHADO!D:D, F744,DETALHADO!C:C),"")</f>
        <v/>
      </c>
    </row>
    <row r="745" ht="15.75" customHeight="1">
      <c r="F745" s="69"/>
      <c r="G745" s="60" t="str">
        <f>IF(NOT(ISBLANK(F745)),SUMIF(DETALHADO!D:D, F745,DETALHADO!C:C),"")</f>
        <v/>
      </c>
    </row>
    <row r="746" ht="15.75" customHeight="1">
      <c r="F746" s="69"/>
      <c r="G746" s="60" t="str">
        <f>IF(NOT(ISBLANK(F746)),SUMIF(DETALHADO!D:D, F746,DETALHADO!C:C),"")</f>
        <v/>
      </c>
    </row>
    <row r="747" ht="15.75" customHeight="1">
      <c r="F747" s="69"/>
      <c r="G747" s="60" t="str">
        <f>IF(NOT(ISBLANK(F747)),SUMIF(DETALHADO!D:D, F747,DETALHADO!C:C),"")</f>
        <v/>
      </c>
    </row>
    <row r="748" ht="15.75" customHeight="1">
      <c r="F748" s="69"/>
      <c r="G748" s="60" t="str">
        <f>IF(NOT(ISBLANK(F748)),SUMIF(DETALHADO!D:D, F748,DETALHADO!C:C),"")</f>
        <v/>
      </c>
    </row>
    <row r="749" ht="15.75" customHeight="1">
      <c r="F749" s="69"/>
      <c r="G749" s="60" t="str">
        <f>IF(NOT(ISBLANK(F749)),SUMIF(DETALHADO!D:D, F749,DETALHADO!C:C),"")</f>
        <v/>
      </c>
    </row>
    <row r="750" ht="15.75" customHeight="1">
      <c r="F750" s="69"/>
      <c r="G750" s="60" t="str">
        <f>IF(NOT(ISBLANK(F750)),SUMIF(DETALHADO!D:D, F750,DETALHADO!C:C),"")</f>
        <v/>
      </c>
    </row>
    <row r="751" ht="15.75" customHeight="1">
      <c r="F751" s="69"/>
      <c r="G751" s="60" t="str">
        <f>IF(NOT(ISBLANK(F751)),SUMIF(DETALHADO!D:D, F751,DETALHADO!C:C),"")</f>
        <v/>
      </c>
    </row>
    <row r="752" ht="15.75" customHeight="1">
      <c r="F752" s="69"/>
      <c r="G752" s="60" t="str">
        <f>IF(NOT(ISBLANK(F752)),SUMIF(DETALHADO!D:D, F752,DETALHADO!C:C),"")</f>
        <v/>
      </c>
    </row>
    <row r="753" ht="15.75" customHeight="1">
      <c r="F753" s="69"/>
      <c r="G753" s="60" t="str">
        <f>IF(NOT(ISBLANK(F753)),SUMIF(DETALHADO!D:D, F753,DETALHADO!C:C),"")</f>
        <v/>
      </c>
    </row>
    <row r="754" ht="15.75" customHeight="1">
      <c r="F754" s="69"/>
      <c r="G754" s="60" t="str">
        <f>IF(NOT(ISBLANK(F754)),SUMIF(DETALHADO!D:D, F754,DETALHADO!C:C),"")</f>
        <v/>
      </c>
    </row>
    <row r="755" ht="15.75" customHeight="1">
      <c r="F755" s="69"/>
      <c r="G755" s="60" t="str">
        <f>IF(NOT(ISBLANK(F755)),SUMIF(DETALHADO!D:D, F755,DETALHADO!C:C),"")</f>
        <v/>
      </c>
    </row>
    <row r="756" ht="15.75" customHeight="1">
      <c r="F756" s="69"/>
      <c r="G756" s="60" t="str">
        <f>IF(NOT(ISBLANK(F756)),SUMIF(DETALHADO!D:D, F756,DETALHADO!C:C),"")</f>
        <v/>
      </c>
    </row>
    <row r="757" ht="15.75" customHeight="1">
      <c r="F757" s="69"/>
      <c r="G757" s="60" t="str">
        <f>IF(NOT(ISBLANK(F757)),SUMIF(DETALHADO!D:D, F757,DETALHADO!C:C),"")</f>
        <v/>
      </c>
    </row>
    <row r="758" ht="15.75" customHeight="1">
      <c r="F758" s="69"/>
      <c r="G758" s="60" t="str">
        <f>IF(NOT(ISBLANK(F758)),SUMIF(DETALHADO!D:D, F758,DETALHADO!C:C),"")</f>
        <v/>
      </c>
    </row>
    <row r="759" ht="15.75" customHeight="1">
      <c r="F759" s="69"/>
      <c r="G759" s="60" t="str">
        <f>IF(NOT(ISBLANK(F759)),SUMIF(DETALHADO!D:D, F759,DETALHADO!C:C),"")</f>
        <v/>
      </c>
    </row>
    <row r="760" ht="15.75" customHeight="1">
      <c r="F760" s="69"/>
      <c r="G760" s="60" t="str">
        <f>IF(NOT(ISBLANK(F760)),SUMIF(DETALHADO!D:D, F760,DETALHADO!C:C),"")</f>
        <v/>
      </c>
    </row>
    <row r="761" ht="15.75" customHeight="1">
      <c r="F761" s="69"/>
      <c r="G761" s="60" t="str">
        <f>IF(NOT(ISBLANK(F761)),SUMIF(DETALHADO!D:D, F761,DETALHADO!C:C),"")</f>
        <v/>
      </c>
    </row>
    <row r="762" ht="15.75" customHeight="1">
      <c r="F762" s="69"/>
      <c r="G762" s="60" t="str">
        <f>IF(NOT(ISBLANK(F762)),SUMIF(DETALHADO!D:D, F762,DETALHADO!C:C),"")</f>
        <v/>
      </c>
    </row>
    <row r="763" ht="15.75" customHeight="1">
      <c r="F763" s="69"/>
      <c r="G763" s="60" t="str">
        <f>IF(NOT(ISBLANK(F763)),SUMIF(DETALHADO!D:D, F763,DETALHADO!C:C),"")</f>
        <v/>
      </c>
    </row>
    <row r="764" ht="15.75" customHeight="1">
      <c r="F764" s="69"/>
      <c r="G764" s="60" t="str">
        <f>IF(NOT(ISBLANK(F764)),SUMIF(DETALHADO!D:D, F764,DETALHADO!C:C),"")</f>
        <v/>
      </c>
    </row>
    <row r="765" ht="15.75" customHeight="1">
      <c r="F765" s="69"/>
      <c r="G765" s="60" t="str">
        <f>IF(NOT(ISBLANK(F765)),SUMIF(DETALHADO!D:D, F765,DETALHADO!C:C),"")</f>
        <v/>
      </c>
    </row>
    <row r="766" ht="15.75" customHeight="1">
      <c r="F766" s="69"/>
      <c r="G766" s="60" t="str">
        <f>IF(NOT(ISBLANK(F766)),SUMIF(DETALHADO!D:D, F766,DETALHADO!C:C),"")</f>
        <v/>
      </c>
    </row>
    <row r="767" ht="15.75" customHeight="1">
      <c r="F767" s="69"/>
      <c r="G767" s="60" t="str">
        <f>IF(NOT(ISBLANK(F767)),SUMIF(DETALHADO!D:D, F767,DETALHADO!C:C),"")</f>
        <v/>
      </c>
    </row>
    <row r="768" ht="15.75" customHeight="1">
      <c r="F768" s="69"/>
      <c r="G768" s="60" t="str">
        <f>IF(NOT(ISBLANK(F768)),SUMIF(DETALHADO!D:D, F768,DETALHADO!C:C),"")</f>
        <v/>
      </c>
    </row>
    <row r="769" ht="15.75" customHeight="1">
      <c r="F769" s="69"/>
      <c r="G769" s="60" t="str">
        <f>IF(NOT(ISBLANK(F769)),SUMIF(DETALHADO!D:D, F769,DETALHADO!C:C),"")</f>
        <v/>
      </c>
    </row>
    <row r="770" ht="15.75" customHeight="1">
      <c r="F770" s="69"/>
      <c r="G770" s="60" t="str">
        <f>IF(NOT(ISBLANK(F770)),SUMIF(DETALHADO!D:D, F770,DETALHADO!C:C),"")</f>
        <v/>
      </c>
    </row>
    <row r="771" ht="15.75" customHeight="1">
      <c r="F771" s="69"/>
      <c r="G771" s="60" t="str">
        <f>IF(NOT(ISBLANK(F771)),SUMIF(DETALHADO!D:D, F771,DETALHADO!C:C),"")</f>
        <v/>
      </c>
    </row>
    <row r="772" ht="15.75" customHeight="1">
      <c r="F772" s="69"/>
      <c r="G772" s="60" t="str">
        <f>IF(NOT(ISBLANK(F772)),SUMIF(DETALHADO!D:D, F772,DETALHADO!C:C),"")</f>
        <v/>
      </c>
    </row>
    <row r="773" ht="15.75" customHeight="1">
      <c r="F773" s="69"/>
      <c r="G773" s="60" t="str">
        <f>IF(NOT(ISBLANK(F773)),SUMIF(DETALHADO!D:D, F773,DETALHADO!C:C),"")</f>
        <v/>
      </c>
    </row>
    <row r="774" ht="15.75" customHeight="1">
      <c r="F774" s="69"/>
      <c r="G774" s="60" t="str">
        <f>IF(NOT(ISBLANK(F774)),SUMIF(DETALHADO!D:D, F774,DETALHADO!C:C),"")</f>
        <v/>
      </c>
    </row>
    <row r="775" ht="15.75" customHeight="1">
      <c r="F775" s="69"/>
      <c r="G775" s="60" t="str">
        <f>IF(NOT(ISBLANK(F775)),SUMIF(DETALHADO!D:D, F775,DETALHADO!C:C),"")</f>
        <v/>
      </c>
    </row>
    <row r="776" ht="15.75" customHeight="1">
      <c r="F776" s="69"/>
      <c r="G776" s="60" t="str">
        <f>IF(NOT(ISBLANK(F776)),SUMIF(DETALHADO!D:D, F776,DETALHADO!C:C),"")</f>
        <v/>
      </c>
    </row>
    <row r="777" ht="15.75" customHeight="1">
      <c r="F777" s="69"/>
      <c r="G777" s="60" t="str">
        <f>IF(NOT(ISBLANK(F777)),SUMIF(DETALHADO!D:D, F777,DETALHADO!C:C),"")</f>
        <v/>
      </c>
    </row>
    <row r="778" ht="15.75" customHeight="1">
      <c r="F778" s="69"/>
      <c r="G778" s="60" t="str">
        <f>IF(NOT(ISBLANK(F778)),SUMIF(DETALHADO!D:D, F778,DETALHADO!C:C),"")</f>
        <v/>
      </c>
    </row>
    <row r="779" ht="15.75" customHeight="1">
      <c r="F779" s="69"/>
      <c r="G779" s="60" t="str">
        <f>IF(NOT(ISBLANK(F779)),SUMIF(DETALHADO!D:D, F779,DETALHADO!C:C),"")</f>
        <v/>
      </c>
    </row>
    <row r="780" ht="15.75" customHeight="1">
      <c r="F780" s="69"/>
      <c r="G780" s="60" t="str">
        <f>IF(NOT(ISBLANK(F780)),SUMIF(DETALHADO!D:D, F780,DETALHADO!C:C),"")</f>
        <v/>
      </c>
    </row>
    <row r="781" ht="15.75" customHeight="1">
      <c r="F781" s="69"/>
      <c r="G781" s="60" t="str">
        <f>IF(NOT(ISBLANK(F781)),SUMIF(DETALHADO!D:D, F781,DETALHADO!C:C),"")</f>
        <v/>
      </c>
    </row>
    <row r="782" ht="15.75" customHeight="1">
      <c r="F782" s="69"/>
      <c r="G782" s="60" t="str">
        <f>IF(NOT(ISBLANK(F782)),SUMIF(DETALHADO!D:D, F782,DETALHADO!C:C),"")</f>
        <v/>
      </c>
    </row>
    <row r="783" ht="15.75" customHeight="1">
      <c r="F783" s="69"/>
      <c r="G783" s="60" t="str">
        <f>IF(NOT(ISBLANK(F783)),SUMIF(DETALHADO!D:D, F783,DETALHADO!C:C),"")</f>
        <v/>
      </c>
    </row>
    <row r="784" ht="15.75" customHeight="1">
      <c r="F784" s="69"/>
      <c r="G784" s="60" t="str">
        <f>IF(NOT(ISBLANK(F784)),SUMIF(DETALHADO!D:D, F784,DETALHADO!C:C),"")</f>
        <v/>
      </c>
    </row>
    <row r="785" ht="15.75" customHeight="1">
      <c r="F785" s="69"/>
      <c r="G785" s="60" t="str">
        <f>IF(NOT(ISBLANK(F785)),SUMIF(DETALHADO!D:D, F785,DETALHADO!C:C),"")</f>
        <v/>
      </c>
    </row>
    <row r="786" ht="15.75" customHeight="1">
      <c r="F786" s="69"/>
      <c r="G786" s="60" t="str">
        <f>IF(NOT(ISBLANK(F786)),SUMIF(DETALHADO!D:D, F786,DETALHADO!C:C),"")</f>
        <v/>
      </c>
    </row>
    <row r="787" ht="15.75" customHeight="1">
      <c r="F787" s="69"/>
      <c r="G787" s="60" t="str">
        <f>IF(NOT(ISBLANK(F787)),SUMIF(DETALHADO!D:D, F787,DETALHADO!C:C),"")</f>
        <v/>
      </c>
    </row>
    <row r="788" ht="15.75" customHeight="1">
      <c r="F788" s="69"/>
      <c r="G788" s="60" t="str">
        <f>IF(NOT(ISBLANK(F788)),SUMIF(DETALHADO!D:D, F788,DETALHADO!C:C),"")</f>
        <v/>
      </c>
    </row>
    <row r="789" ht="15.75" customHeight="1">
      <c r="F789" s="69"/>
      <c r="G789" s="60" t="str">
        <f>IF(NOT(ISBLANK(F789)),SUMIF(DETALHADO!D:D, F789,DETALHADO!C:C),"")</f>
        <v/>
      </c>
    </row>
    <row r="790" ht="15.75" customHeight="1">
      <c r="F790" s="69"/>
      <c r="G790" s="60" t="str">
        <f>IF(NOT(ISBLANK(F790)),SUMIF(DETALHADO!D:D, F790,DETALHADO!C:C),"")</f>
        <v/>
      </c>
    </row>
    <row r="791" ht="15.75" customHeight="1">
      <c r="F791" s="69"/>
      <c r="G791" s="60" t="str">
        <f>IF(NOT(ISBLANK(F791)),SUMIF(DETALHADO!D:D, F791,DETALHADO!C:C),"")</f>
        <v/>
      </c>
    </row>
    <row r="792" ht="15.75" customHeight="1">
      <c r="F792" s="69"/>
      <c r="G792" s="60" t="str">
        <f>IF(NOT(ISBLANK(F792)),SUMIF(DETALHADO!D:D, F792,DETALHADO!C:C),"")</f>
        <v/>
      </c>
    </row>
    <row r="793" ht="15.75" customHeight="1">
      <c r="F793" s="69"/>
      <c r="G793" s="60" t="str">
        <f>IF(NOT(ISBLANK(F793)),SUMIF(DETALHADO!D:D, F793,DETALHADO!C:C),"")</f>
        <v/>
      </c>
    </row>
    <row r="794" ht="15.75" customHeight="1">
      <c r="F794" s="69"/>
      <c r="G794" s="60" t="str">
        <f>IF(NOT(ISBLANK(F794)),SUMIF(DETALHADO!D:D, F794,DETALHADO!C:C),"")</f>
        <v/>
      </c>
    </row>
    <row r="795" ht="15.75" customHeight="1">
      <c r="F795" s="69"/>
      <c r="G795" s="60" t="str">
        <f>IF(NOT(ISBLANK(F795)),SUMIF(DETALHADO!D:D, F795,DETALHADO!C:C),"")</f>
        <v/>
      </c>
    </row>
    <row r="796" ht="15.75" customHeight="1">
      <c r="F796" s="69"/>
      <c r="G796" s="60" t="str">
        <f>IF(NOT(ISBLANK(F796)),SUMIF(DETALHADO!D:D, F796,DETALHADO!C:C),"")</f>
        <v/>
      </c>
    </row>
    <row r="797" ht="15.75" customHeight="1">
      <c r="F797" s="69"/>
      <c r="G797" s="60" t="str">
        <f>IF(NOT(ISBLANK(F797)),SUMIF(DETALHADO!D:D, F797,DETALHADO!C:C),"")</f>
        <v/>
      </c>
    </row>
    <row r="798" ht="15.75" customHeight="1">
      <c r="F798" s="69"/>
      <c r="G798" s="60" t="str">
        <f>IF(NOT(ISBLANK(F798)),SUMIF(DETALHADO!D:D, F798,DETALHADO!C:C),"")</f>
        <v/>
      </c>
    </row>
    <row r="799" ht="15.75" customHeight="1">
      <c r="F799" s="69"/>
      <c r="G799" s="60" t="str">
        <f>IF(NOT(ISBLANK(F799)),SUMIF(DETALHADO!D:D, F799,DETALHADO!C:C),"")</f>
        <v/>
      </c>
    </row>
    <row r="800" ht="15.75" customHeight="1">
      <c r="F800" s="69"/>
      <c r="G800" s="60" t="str">
        <f>IF(NOT(ISBLANK(F800)),SUMIF(DETALHADO!D:D, F800,DETALHADO!C:C),"")</f>
        <v/>
      </c>
    </row>
    <row r="801" ht="15.75" customHeight="1">
      <c r="F801" s="69"/>
      <c r="G801" s="60" t="str">
        <f>IF(NOT(ISBLANK(F801)),SUMIF(DETALHADO!D:D, F801,DETALHADO!C:C),"")</f>
        <v/>
      </c>
    </row>
    <row r="802" ht="15.75" customHeight="1">
      <c r="F802" s="69"/>
      <c r="G802" s="60" t="str">
        <f>IF(NOT(ISBLANK(F802)),SUMIF(DETALHADO!D:D, F802,DETALHADO!C:C),"")</f>
        <v/>
      </c>
    </row>
    <row r="803" ht="15.75" customHeight="1">
      <c r="F803" s="69"/>
      <c r="G803" s="60" t="str">
        <f>IF(NOT(ISBLANK(F803)),SUMIF(DETALHADO!D:D, F803,DETALHADO!C:C),"")</f>
        <v/>
      </c>
    </row>
    <row r="804" ht="15.75" customHeight="1">
      <c r="F804" s="69"/>
      <c r="G804" s="60" t="str">
        <f>IF(NOT(ISBLANK(F804)),SUMIF(DETALHADO!D:D, F804,DETALHADO!C:C),"")</f>
        <v/>
      </c>
    </row>
    <row r="805" ht="15.75" customHeight="1">
      <c r="F805" s="69"/>
      <c r="G805" s="60" t="str">
        <f>IF(NOT(ISBLANK(F805)),SUMIF(DETALHADO!D:D, F805,DETALHADO!C:C),"")</f>
        <v/>
      </c>
    </row>
    <row r="806" ht="15.75" customHeight="1">
      <c r="F806" s="69"/>
      <c r="G806" s="60" t="str">
        <f>IF(NOT(ISBLANK(F806)),SUMIF(DETALHADO!D:D, F806,DETALHADO!C:C),"")</f>
        <v/>
      </c>
    </row>
    <row r="807" ht="15.75" customHeight="1">
      <c r="F807" s="69"/>
      <c r="G807" s="60" t="str">
        <f>IF(NOT(ISBLANK(F807)),SUMIF(DETALHADO!D:D, F807,DETALHADO!C:C),"")</f>
        <v/>
      </c>
    </row>
    <row r="808" ht="15.75" customHeight="1">
      <c r="F808" s="69"/>
      <c r="G808" s="60" t="str">
        <f>IF(NOT(ISBLANK(F808)),SUMIF(DETALHADO!D:D, F808,DETALHADO!C:C),"")</f>
        <v/>
      </c>
    </row>
    <row r="809" ht="15.75" customHeight="1">
      <c r="F809" s="69"/>
      <c r="G809" s="60" t="str">
        <f>IF(NOT(ISBLANK(F809)),SUMIF(DETALHADO!D:D, F809,DETALHADO!C:C),"")</f>
        <v/>
      </c>
    </row>
    <row r="810" ht="15.75" customHeight="1">
      <c r="F810" s="69"/>
      <c r="G810" s="60" t="str">
        <f>IF(NOT(ISBLANK(F810)),SUMIF(DETALHADO!D:D, F810,DETALHADO!C:C),"")</f>
        <v/>
      </c>
    </row>
    <row r="811" ht="15.75" customHeight="1">
      <c r="F811" s="69"/>
      <c r="G811" s="60" t="str">
        <f>IF(NOT(ISBLANK(F811)),SUMIF(DETALHADO!D:D, F811,DETALHADO!C:C),"")</f>
        <v/>
      </c>
    </row>
    <row r="812" ht="15.75" customHeight="1">
      <c r="F812" s="69"/>
      <c r="G812" s="60" t="str">
        <f>IF(NOT(ISBLANK(F812)),SUMIF(DETALHADO!D:D, F812,DETALHADO!C:C),"")</f>
        <v/>
      </c>
    </row>
    <row r="813" ht="15.75" customHeight="1">
      <c r="F813" s="69"/>
      <c r="G813" s="60" t="str">
        <f>IF(NOT(ISBLANK(F813)),SUMIF(DETALHADO!D:D, F813,DETALHADO!C:C),"")</f>
        <v/>
      </c>
    </row>
    <row r="814" ht="15.75" customHeight="1">
      <c r="F814" s="69"/>
      <c r="G814" s="60" t="str">
        <f>IF(NOT(ISBLANK(F814)),SUMIF(DETALHADO!D:D, F814,DETALHADO!C:C),"")</f>
        <v/>
      </c>
    </row>
    <row r="815" ht="15.75" customHeight="1">
      <c r="F815" s="69"/>
      <c r="G815" s="60" t="str">
        <f>IF(NOT(ISBLANK(F815)),SUMIF(DETALHADO!D:D, F815,DETALHADO!C:C),"")</f>
        <v/>
      </c>
    </row>
    <row r="816" ht="15.75" customHeight="1">
      <c r="F816" s="69"/>
      <c r="G816" s="60" t="str">
        <f>IF(NOT(ISBLANK(F816)),SUMIF(DETALHADO!D:D, F816,DETALHADO!C:C),"")</f>
        <v/>
      </c>
    </row>
    <row r="817" ht="15.75" customHeight="1">
      <c r="F817" s="69"/>
      <c r="G817" s="60" t="str">
        <f>IF(NOT(ISBLANK(F817)),SUMIF(DETALHADO!D:D, F817,DETALHADO!C:C),"")</f>
        <v/>
      </c>
    </row>
    <row r="818" ht="15.75" customHeight="1">
      <c r="F818" s="69"/>
      <c r="G818" s="60" t="str">
        <f>IF(NOT(ISBLANK(F818)),SUMIF(DETALHADO!D:D, F818,DETALHADO!C:C),"")</f>
        <v/>
      </c>
    </row>
    <row r="819" ht="15.75" customHeight="1">
      <c r="F819" s="69"/>
      <c r="G819" s="60" t="str">
        <f>IF(NOT(ISBLANK(F819)),SUMIF(DETALHADO!D:D, F819,DETALHADO!C:C),"")</f>
        <v/>
      </c>
    </row>
    <row r="820" ht="15.75" customHeight="1">
      <c r="F820" s="69"/>
      <c r="G820" s="60" t="str">
        <f>IF(NOT(ISBLANK(F820)),SUMIF(DETALHADO!D:D, F820,DETALHADO!C:C),"")</f>
        <v/>
      </c>
    </row>
    <row r="821" ht="15.75" customHeight="1">
      <c r="F821" s="69"/>
      <c r="G821" s="60" t="str">
        <f>IF(NOT(ISBLANK(F821)),SUMIF(DETALHADO!D:D, F821,DETALHADO!C:C),"")</f>
        <v/>
      </c>
    </row>
    <row r="822" ht="15.75" customHeight="1">
      <c r="F822" s="69"/>
      <c r="G822" s="60" t="str">
        <f>IF(NOT(ISBLANK(F822)),SUMIF(DETALHADO!D:D, F822,DETALHADO!C:C),"")</f>
        <v/>
      </c>
    </row>
    <row r="823" ht="15.75" customHeight="1">
      <c r="F823" s="69"/>
      <c r="G823" s="60" t="str">
        <f>IF(NOT(ISBLANK(F823)),SUMIF(DETALHADO!D:D, F823,DETALHADO!C:C),"")</f>
        <v/>
      </c>
    </row>
    <row r="824" ht="15.75" customHeight="1">
      <c r="F824" s="69"/>
      <c r="G824" s="60" t="str">
        <f>IF(NOT(ISBLANK(F824)),SUMIF(DETALHADO!D:D, F824,DETALHADO!C:C),"")</f>
        <v/>
      </c>
    </row>
    <row r="825" ht="15.75" customHeight="1">
      <c r="F825" s="69"/>
      <c r="G825" s="60" t="str">
        <f>IF(NOT(ISBLANK(F825)),SUMIF(DETALHADO!D:D, F825,DETALHADO!C:C),"")</f>
        <v/>
      </c>
    </row>
    <row r="826" ht="15.75" customHeight="1">
      <c r="F826" s="69"/>
      <c r="G826" s="60" t="str">
        <f>IF(NOT(ISBLANK(F826)),SUMIF(DETALHADO!D:D, F826,DETALHADO!C:C),"")</f>
        <v/>
      </c>
    </row>
    <row r="827" ht="15.75" customHeight="1">
      <c r="F827" s="69"/>
      <c r="G827" s="60" t="str">
        <f>IF(NOT(ISBLANK(F827)),SUMIF(DETALHADO!D:D, F827,DETALHADO!C:C),"")</f>
        <v/>
      </c>
    </row>
    <row r="828" ht="15.75" customHeight="1">
      <c r="F828" s="69"/>
      <c r="G828" s="60" t="str">
        <f>IF(NOT(ISBLANK(F828)),SUMIF(DETALHADO!D:D, F828,DETALHADO!C:C),"")</f>
        <v/>
      </c>
    </row>
    <row r="829" ht="15.75" customHeight="1">
      <c r="F829" s="69"/>
      <c r="G829" s="60" t="str">
        <f>IF(NOT(ISBLANK(F829)),SUMIF(DETALHADO!D:D, F829,DETALHADO!C:C),"")</f>
        <v/>
      </c>
    </row>
    <row r="830" ht="15.75" customHeight="1">
      <c r="F830" s="69"/>
      <c r="G830" s="60" t="str">
        <f>IF(NOT(ISBLANK(F830)),SUMIF(DETALHADO!D:D, F830,DETALHADO!C:C),"")</f>
        <v/>
      </c>
    </row>
    <row r="831" ht="15.75" customHeight="1">
      <c r="F831" s="69"/>
      <c r="G831" s="60" t="str">
        <f>IF(NOT(ISBLANK(F831)),SUMIF(DETALHADO!D:D, F831,DETALHADO!C:C),"")</f>
        <v/>
      </c>
    </row>
    <row r="832" ht="15.75" customHeight="1">
      <c r="F832" s="69"/>
      <c r="G832" s="60" t="str">
        <f>IF(NOT(ISBLANK(F832)),SUMIF(DETALHADO!D:D, F832,DETALHADO!C:C),"")</f>
        <v/>
      </c>
    </row>
    <row r="833" ht="15.75" customHeight="1">
      <c r="F833" s="69"/>
      <c r="G833" s="60" t="str">
        <f>IF(NOT(ISBLANK(F833)),SUMIF(DETALHADO!D:D, F833,DETALHADO!C:C),"")</f>
        <v/>
      </c>
    </row>
    <row r="834" ht="15.75" customHeight="1">
      <c r="F834" s="69"/>
      <c r="G834" s="60" t="str">
        <f>IF(NOT(ISBLANK(F834)),SUMIF(DETALHADO!D:D, F834,DETALHADO!C:C),"")</f>
        <v/>
      </c>
    </row>
    <row r="835" ht="15.75" customHeight="1">
      <c r="F835" s="69"/>
      <c r="G835" s="60" t="str">
        <f>IF(NOT(ISBLANK(F835)),SUMIF(DETALHADO!D:D, F835,DETALHADO!C:C),"")</f>
        <v/>
      </c>
    </row>
    <row r="836" ht="15.75" customHeight="1">
      <c r="F836" s="69"/>
      <c r="G836" s="60" t="str">
        <f>IF(NOT(ISBLANK(F836)),SUMIF(DETALHADO!D:D, F836,DETALHADO!C:C),"")</f>
        <v/>
      </c>
    </row>
    <row r="837" ht="15.75" customHeight="1">
      <c r="F837" s="69"/>
      <c r="G837" s="60" t="str">
        <f>IF(NOT(ISBLANK(F837)),SUMIF(DETALHADO!D:D, F837,DETALHADO!C:C),"")</f>
        <v/>
      </c>
    </row>
    <row r="838" ht="15.75" customHeight="1">
      <c r="F838" s="69"/>
      <c r="G838" s="60" t="str">
        <f>IF(NOT(ISBLANK(F838)),SUMIF(DETALHADO!D:D, F838,DETALHADO!C:C),"")</f>
        <v/>
      </c>
    </row>
    <row r="839" ht="15.75" customHeight="1">
      <c r="F839" s="69"/>
      <c r="G839" s="60" t="str">
        <f>IF(NOT(ISBLANK(F839)),SUMIF(DETALHADO!D:D, F839,DETALHADO!C:C),"")</f>
        <v/>
      </c>
    </row>
    <row r="840" ht="15.75" customHeight="1">
      <c r="F840" s="69"/>
      <c r="G840" s="60" t="str">
        <f>IF(NOT(ISBLANK(F840)),SUMIF(DETALHADO!D:D, F840,DETALHADO!C:C),"")</f>
        <v/>
      </c>
    </row>
    <row r="841" ht="15.75" customHeight="1">
      <c r="F841" s="69"/>
      <c r="G841" s="60" t="str">
        <f>IF(NOT(ISBLANK(F841)),SUMIF(DETALHADO!D:D, F841,DETALHADO!C:C),"")</f>
        <v/>
      </c>
    </row>
    <row r="842" ht="15.75" customHeight="1">
      <c r="F842" s="69"/>
      <c r="G842" s="60" t="str">
        <f>IF(NOT(ISBLANK(F842)),SUMIF(DETALHADO!D:D, F842,DETALHADO!C:C),"")</f>
        <v/>
      </c>
    </row>
    <row r="843" ht="15.75" customHeight="1">
      <c r="F843" s="69"/>
      <c r="G843" s="60" t="str">
        <f>IF(NOT(ISBLANK(F843)),SUMIF(DETALHADO!D:D, F843,DETALHADO!C:C),"")</f>
        <v/>
      </c>
    </row>
    <row r="844" ht="15.75" customHeight="1">
      <c r="F844" s="69"/>
      <c r="G844" s="60" t="str">
        <f>IF(NOT(ISBLANK(F844)),SUMIF(DETALHADO!D:D, F844,DETALHADO!C:C),"")</f>
        <v/>
      </c>
    </row>
    <row r="845" ht="15.75" customHeight="1">
      <c r="F845" s="69"/>
      <c r="G845" s="60" t="str">
        <f>IF(NOT(ISBLANK(F845)),SUMIF(DETALHADO!D:D, F845,DETALHADO!C:C),"")</f>
        <v/>
      </c>
    </row>
    <row r="846" ht="15.75" customHeight="1">
      <c r="F846" s="69"/>
      <c r="G846" s="60" t="str">
        <f>IF(NOT(ISBLANK(F846)),SUMIF(DETALHADO!D:D, F846,DETALHADO!C:C),"")</f>
        <v/>
      </c>
    </row>
    <row r="847" ht="15.75" customHeight="1">
      <c r="F847" s="69"/>
      <c r="G847" s="60" t="str">
        <f>IF(NOT(ISBLANK(F847)),SUMIF(DETALHADO!D:D, F847,DETALHADO!C:C),"")</f>
        <v/>
      </c>
    </row>
    <row r="848" ht="15.75" customHeight="1">
      <c r="F848" s="69"/>
      <c r="G848" s="60" t="str">
        <f>IF(NOT(ISBLANK(F848)),SUMIF(DETALHADO!D:D, F848,DETALHADO!C:C),"")</f>
        <v/>
      </c>
    </row>
    <row r="849" ht="15.75" customHeight="1">
      <c r="F849" s="69"/>
      <c r="G849" s="60" t="str">
        <f>IF(NOT(ISBLANK(F849)),SUMIF(DETALHADO!D:D, F849,DETALHADO!C:C),"")</f>
        <v/>
      </c>
    </row>
    <row r="850" ht="15.75" customHeight="1">
      <c r="F850" s="69"/>
      <c r="G850" s="60" t="str">
        <f>IF(NOT(ISBLANK(F850)),SUMIF(DETALHADO!D:D, F850,DETALHADO!C:C),"")</f>
        <v/>
      </c>
    </row>
    <row r="851" ht="15.75" customHeight="1">
      <c r="F851" s="69"/>
      <c r="G851" s="60" t="str">
        <f>IF(NOT(ISBLANK(F851)),SUMIF(DETALHADO!D:D, F851,DETALHADO!C:C),"")</f>
        <v/>
      </c>
    </row>
    <row r="852" ht="15.75" customHeight="1">
      <c r="F852" s="69"/>
      <c r="G852" s="60" t="str">
        <f>IF(NOT(ISBLANK(F852)),SUMIF(DETALHADO!D:D, F852,DETALHADO!C:C),"")</f>
        <v/>
      </c>
    </row>
    <row r="853" ht="15.75" customHeight="1">
      <c r="F853" s="69"/>
      <c r="G853" s="60" t="str">
        <f>IF(NOT(ISBLANK(F853)),SUMIF(DETALHADO!D:D, F853,DETALHADO!C:C),"")</f>
        <v/>
      </c>
    </row>
    <row r="854" ht="15.75" customHeight="1">
      <c r="F854" s="69"/>
      <c r="G854" s="60" t="str">
        <f>IF(NOT(ISBLANK(F854)),SUMIF(DETALHADO!D:D, F854,DETALHADO!C:C),"")</f>
        <v/>
      </c>
    </row>
    <row r="855" ht="15.75" customHeight="1">
      <c r="F855" s="69"/>
      <c r="G855" s="60" t="str">
        <f>IF(NOT(ISBLANK(F855)),SUMIF(DETALHADO!D:D, F855,DETALHADO!C:C),"")</f>
        <v/>
      </c>
    </row>
    <row r="856" ht="15.75" customHeight="1">
      <c r="F856" s="69"/>
      <c r="G856" s="60" t="str">
        <f>IF(NOT(ISBLANK(F856)),SUMIF(DETALHADO!D:D, F856,DETALHADO!C:C),"")</f>
        <v/>
      </c>
    </row>
    <row r="857" ht="15.75" customHeight="1">
      <c r="F857" s="69"/>
      <c r="G857" s="60" t="str">
        <f>IF(NOT(ISBLANK(F857)),SUMIF(DETALHADO!D:D, F857,DETALHADO!C:C),"")</f>
        <v/>
      </c>
    </row>
    <row r="858" ht="15.75" customHeight="1">
      <c r="F858" s="69"/>
      <c r="G858" s="60" t="str">
        <f>IF(NOT(ISBLANK(F858)),SUMIF(DETALHADO!D:D, F858,DETALHADO!C:C),"")</f>
        <v/>
      </c>
    </row>
    <row r="859" ht="15.75" customHeight="1">
      <c r="F859" s="69"/>
      <c r="G859" s="60" t="str">
        <f>IF(NOT(ISBLANK(F859)),SUMIF(DETALHADO!D:D, F859,DETALHADO!C:C),"")</f>
        <v/>
      </c>
    </row>
    <row r="860" ht="15.75" customHeight="1">
      <c r="F860" s="69"/>
      <c r="G860" s="60" t="str">
        <f>IF(NOT(ISBLANK(F860)),SUMIF(DETALHADO!D:D, F860,DETALHADO!C:C),"")</f>
        <v/>
      </c>
    </row>
    <row r="861" ht="15.75" customHeight="1">
      <c r="F861" s="69"/>
      <c r="G861" s="60" t="str">
        <f>IF(NOT(ISBLANK(F861)),SUMIF(DETALHADO!D:D, F861,DETALHADO!C:C),"")</f>
        <v/>
      </c>
    </row>
    <row r="862" ht="15.75" customHeight="1">
      <c r="F862" s="69"/>
      <c r="G862" s="60" t="str">
        <f>IF(NOT(ISBLANK(F862)),SUMIF(DETALHADO!D:D, F862,DETALHADO!C:C),"")</f>
        <v/>
      </c>
    </row>
    <row r="863" ht="15.75" customHeight="1">
      <c r="F863" s="69"/>
      <c r="G863" s="60" t="str">
        <f>IF(NOT(ISBLANK(F863)),SUMIF(DETALHADO!D:D, F863,DETALHADO!C:C),"")</f>
        <v/>
      </c>
    </row>
    <row r="864" ht="15.75" customHeight="1">
      <c r="F864" s="69"/>
      <c r="G864" s="60" t="str">
        <f>IF(NOT(ISBLANK(F864)),SUMIF(DETALHADO!D:D, F864,DETALHADO!C:C),"")</f>
        <v/>
      </c>
    </row>
    <row r="865" ht="15.75" customHeight="1">
      <c r="F865" s="69"/>
      <c r="G865" s="60" t="str">
        <f>IF(NOT(ISBLANK(F865)),SUMIF(DETALHADO!D:D, F865,DETALHADO!C:C),"")</f>
        <v/>
      </c>
    </row>
    <row r="866" ht="15.75" customHeight="1">
      <c r="F866" s="69"/>
      <c r="G866" s="60" t="str">
        <f>IF(NOT(ISBLANK(F866)),SUMIF(DETALHADO!D:D, F866,DETALHADO!C:C),"")</f>
        <v/>
      </c>
    </row>
    <row r="867" ht="15.75" customHeight="1">
      <c r="F867" s="69"/>
      <c r="G867" s="60" t="str">
        <f>IF(NOT(ISBLANK(F867)),SUMIF(DETALHADO!D:D, F867,DETALHADO!C:C),"")</f>
        <v/>
      </c>
    </row>
    <row r="868" ht="15.75" customHeight="1">
      <c r="F868" s="69"/>
      <c r="G868" s="60" t="str">
        <f>IF(NOT(ISBLANK(F868)),SUMIF(DETALHADO!D:D, F868,DETALHADO!C:C),"")</f>
        <v/>
      </c>
    </row>
    <row r="869" ht="15.75" customHeight="1">
      <c r="F869" s="69"/>
      <c r="G869" s="60" t="str">
        <f>IF(NOT(ISBLANK(F869)),SUMIF(DETALHADO!D:D, F869,DETALHADO!C:C),"")</f>
        <v/>
      </c>
    </row>
    <row r="870" ht="15.75" customHeight="1">
      <c r="F870" s="69"/>
      <c r="G870" s="60" t="str">
        <f>IF(NOT(ISBLANK(F870)),SUMIF(DETALHADO!D:D, F870,DETALHADO!C:C),"")</f>
        <v/>
      </c>
    </row>
    <row r="871" ht="15.75" customHeight="1">
      <c r="F871" s="69"/>
      <c r="G871" s="60" t="str">
        <f>IF(NOT(ISBLANK(F871)),SUMIF(DETALHADO!D:D, F871,DETALHADO!C:C),"")</f>
        <v/>
      </c>
    </row>
    <row r="872" ht="15.75" customHeight="1">
      <c r="F872" s="69"/>
      <c r="G872" s="60" t="str">
        <f>IF(NOT(ISBLANK(F872)),SUMIF(DETALHADO!D:D, F872,DETALHADO!C:C),"")</f>
        <v/>
      </c>
    </row>
    <row r="873" ht="15.75" customHeight="1">
      <c r="F873" s="69"/>
      <c r="G873" s="60" t="str">
        <f>IF(NOT(ISBLANK(F873)),SUMIF(DETALHADO!D:D, F873,DETALHADO!C:C),"")</f>
        <v/>
      </c>
    </row>
    <row r="874" ht="15.75" customHeight="1">
      <c r="F874" s="69"/>
      <c r="G874" s="60" t="str">
        <f>IF(NOT(ISBLANK(F874)),SUMIF(DETALHADO!D:D, F874,DETALHADO!C:C),"")</f>
        <v/>
      </c>
    </row>
    <row r="875" ht="15.75" customHeight="1">
      <c r="F875" s="69"/>
      <c r="G875" s="60" t="str">
        <f>IF(NOT(ISBLANK(F875)),SUMIF(DETALHADO!D:D, F875,DETALHADO!C:C),"")</f>
        <v/>
      </c>
    </row>
    <row r="876" ht="15.75" customHeight="1">
      <c r="F876" s="69"/>
      <c r="G876" s="60" t="str">
        <f>IF(NOT(ISBLANK(F876)),SUMIF(DETALHADO!D:D, F876,DETALHADO!C:C),"")</f>
        <v/>
      </c>
    </row>
    <row r="877" ht="15.75" customHeight="1">
      <c r="F877" s="69"/>
      <c r="G877" s="60" t="str">
        <f>IF(NOT(ISBLANK(F877)),SUMIF(DETALHADO!D:D, F877,DETALHADO!C:C),"")</f>
        <v/>
      </c>
    </row>
    <row r="878" ht="15.75" customHeight="1">
      <c r="F878" s="69"/>
      <c r="G878" s="60" t="str">
        <f>IF(NOT(ISBLANK(F878)),SUMIF(DETALHADO!D:D, F878,DETALHADO!C:C),"")</f>
        <v/>
      </c>
    </row>
    <row r="879" ht="15.75" customHeight="1">
      <c r="F879" s="69"/>
      <c r="G879" s="60" t="str">
        <f>IF(NOT(ISBLANK(F879)),SUMIF(DETALHADO!D:D, F879,DETALHADO!C:C),"")</f>
        <v/>
      </c>
    </row>
    <row r="880" ht="15.75" customHeight="1">
      <c r="F880" s="69"/>
      <c r="G880" s="60" t="str">
        <f>IF(NOT(ISBLANK(F880)),SUMIF(DETALHADO!D:D, F880,DETALHADO!C:C),"")</f>
        <v/>
      </c>
    </row>
    <row r="881" ht="15.75" customHeight="1">
      <c r="F881" s="69"/>
      <c r="G881" s="60" t="str">
        <f>IF(NOT(ISBLANK(F881)),SUMIF(DETALHADO!D:D, F881,DETALHADO!C:C),"")</f>
        <v/>
      </c>
    </row>
    <row r="882" ht="15.75" customHeight="1">
      <c r="F882" s="69"/>
      <c r="G882" s="60" t="str">
        <f>IF(NOT(ISBLANK(F882)),SUMIF(DETALHADO!D:D, F882,DETALHADO!C:C),"")</f>
        <v/>
      </c>
    </row>
    <row r="883" ht="15.75" customHeight="1">
      <c r="F883" s="69"/>
      <c r="G883" s="60" t="str">
        <f>IF(NOT(ISBLANK(F883)),SUMIF(DETALHADO!D:D, F883,DETALHADO!C:C),"")</f>
        <v/>
      </c>
    </row>
    <row r="884" ht="15.75" customHeight="1">
      <c r="F884" s="69"/>
      <c r="G884" s="60" t="str">
        <f>IF(NOT(ISBLANK(F884)),SUMIF(DETALHADO!D:D, F884,DETALHADO!C:C),"")</f>
        <v/>
      </c>
    </row>
    <row r="885" ht="15.75" customHeight="1">
      <c r="F885" s="69"/>
      <c r="G885" s="60" t="str">
        <f>IF(NOT(ISBLANK(F885)),SUMIF(DETALHADO!D:D, F885,DETALHADO!C:C),"")</f>
        <v/>
      </c>
    </row>
    <row r="886" ht="15.75" customHeight="1">
      <c r="F886" s="69"/>
      <c r="G886" s="60" t="str">
        <f>IF(NOT(ISBLANK(F886)),SUMIF(DETALHADO!D:D, F886,DETALHADO!C:C),"")</f>
        <v/>
      </c>
    </row>
    <row r="887" ht="15.75" customHeight="1">
      <c r="F887" s="69"/>
      <c r="G887" s="60" t="str">
        <f>IF(NOT(ISBLANK(F887)),SUMIF(DETALHADO!D:D, F887,DETALHADO!C:C),"")</f>
        <v/>
      </c>
    </row>
    <row r="888" ht="15.75" customHeight="1">
      <c r="F888" s="69"/>
      <c r="G888" s="60" t="str">
        <f>IF(NOT(ISBLANK(F888)),SUMIF(DETALHADO!D:D, F888,DETALHADO!C:C),"")</f>
        <v/>
      </c>
    </row>
    <row r="889" ht="15.75" customHeight="1">
      <c r="F889" s="69"/>
      <c r="G889" s="60" t="str">
        <f>IF(NOT(ISBLANK(F889)),SUMIF(DETALHADO!D:D, F889,DETALHADO!C:C),"")</f>
        <v/>
      </c>
    </row>
    <row r="890" ht="15.75" customHeight="1">
      <c r="F890" s="69"/>
      <c r="G890" s="60" t="str">
        <f>IF(NOT(ISBLANK(F890)),SUMIF(DETALHADO!D:D, F890,DETALHADO!C:C),"")</f>
        <v/>
      </c>
    </row>
    <row r="891" ht="15.75" customHeight="1">
      <c r="F891" s="69"/>
      <c r="G891" s="60" t="str">
        <f>IF(NOT(ISBLANK(F891)),SUMIF(DETALHADO!D:D, F891,DETALHADO!C:C),"")</f>
        <v/>
      </c>
    </row>
    <row r="892" ht="15.75" customHeight="1">
      <c r="F892" s="69"/>
      <c r="G892" s="60" t="str">
        <f>IF(NOT(ISBLANK(F892)),SUMIF(DETALHADO!D:D, F892,DETALHADO!C:C),"")</f>
        <v/>
      </c>
    </row>
    <row r="893" ht="15.75" customHeight="1">
      <c r="F893" s="69"/>
      <c r="G893" s="60" t="str">
        <f>IF(NOT(ISBLANK(F893)),SUMIF(DETALHADO!D:D, F893,DETALHADO!C:C),"")</f>
        <v/>
      </c>
    </row>
    <row r="894" ht="15.75" customHeight="1">
      <c r="F894" s="69"/>
      <c r="G894" s="60" t="str">
        <f>IF(NOT(ISBLANK(F894)),SUMIF(DETALHADO!D:D, F894,DETALHADO!C:C),"")</f>
        <v/>
      </c>
    </row>
    <row r="895" ht="15.75" customHeight="1">
      <c r="F895" s="69"/>
      <c r="G895" s="60" t="str">
        <f>IF(NOT(ISBLANK(F895)),SUMIF(DETALHADO!D:D, F895,DETALHADO!C:C),"")</f>
        <v/>
      </c>
    </row>
    <row r="896" ht="15.75" customHeight="1">
      <c r="F896" s="69"/>
      <c r="G896" s="60" t="str">
        <f>IF(NOT(ISBLANK(F896)),SUMIF(DETALHADO!D:D, F896,DETALHADO!C:C),"")</f>
        <v/>
      </c>
    </row>
    <row r="897" ht="15.75" customHeight="1">
      <c r="F897" s="69"/>
      <c r="G897" s="60" t="str">
        <f>IF(NOT(ISBLANK(F897)),SUMIF(DETALHADO!D:D, F897,DETALHADO!C:C),"")</f>
        <v/>
      </c>
    </row>
    <row r="898" ht="15.75" customHeight="1">
      <c r="F898" s="69"/>
      <c r="G898" s="60" t="str">
        <f>IF(NOT(ISBLANK(F898)),SUMIF(DETALHADO!D:D, F898,DETALHADO!C:C),"")</f>
        <v/>
      </c>
    </row>
    <row r="899" ht="15.75" customHeight="1">
      <c r="F899" s="69"/>
      <c r="G899" s="60" t="str">
        <f>IF(NOT(ISBLANK(F899)),SUMIF(DETALHADO!D:D, F899,DETALHADO!C:C),"")</f>
        <v/>
      </c>
    </row>
    <row r="900" ht="15.75" customHeight="1">
      <c r="F900" s="69"/>
      <c r="G900" s="60" t="str">
        <f>IF(NOT(ISBLANK(F900)),SUMIF(DETALHADO!D:D, F900,DETALHADO!C:C),"")</f>
        <v/>
      </c>
    </row>
    <row r="901" ht="15.75" customHeight="1">
      <c r="F901" s="69"/>
      <c r="G901" s="60" t="str">
        <f>IF(NOT(ISBLANK(F901)),SUMIF(DETALHADO!D:D, F901,DETALHADO!C:C),"")</f>
        <v/>
      </c>
    </row>
    <row r="902" ht="15.75" customHeight="1">
      <c r="F902" s="69"/>
      <c r="G902" s="60" t="str">
        <f>IF(NOT(ISBLANK(F902)),SUMIF(DETALHADO!D:D, F902,DETALHADO!C:C),"")</f>
        <v/>
      </c>
    </row>
    <row r="903" ht="15.75" customHeight="1">
      <c r="F903" s="69"/>
      <c r="G903" s="60" t="str">
        <f>IF(NOT(ISBLANK(F903)),SUMIF(DETALHADO!D:D, F903,DETALHADO!C:C),"")</f>
        <v/>
      </c>
    </row>
    <row r="904" ht="15.75" customHeight="1">
      <c r="F904" s="69"/>
      <c r="G904" s="60" t="str">
        <f>IF(NOT(ISBLANK(F904)),SUMIF(DETALHADO!D:D, F904,DETALHADO!C:C),"")</f>
        <v/>
      </c>
    </row>
    <row r="905" ht="15.75" customHeight="1">
      <c r="F905" s="69"/>
      <c r="G905" s="60" t="str">
        <f>IF(NOT(ISBLANK(F905)),SUMIF(DETALHADO!D:D, F905,DETALHADO!C:C),"")</f>
        <v/>
      </c>
    </row>
    <row r="906" ht="15.75" customHeight="1">
      <c r="F906" s="69"/>
      <c r="G906" s="60" t="str">
        <f>IF(NOT(ISBLANK(F906)),SUMIF(DETALHADO!D:D, F906,DETALHADO!C:C),"")</f>
        <v/>
      </c>
    </row>
    <row r="907" ht="15.75" customHeight="1">
      <c r="F907" s="69"/>
      <c r="G907" s="60" t="str">
        <f>IF(NOT(ISBLANK(F907)),SUMIF(DETALHADO!D:D, F907,DETALHADO!C:C),"")</f>
        <v/>
      </c>
    </row>
    <row r="908" ht="15.75" customHeight="1">
      <c r="F908" s="69"/>
      <c r="G908" s="60" t="str">
        <f>IF(NOT(ISBLANK(F908)),SUMIF(DETALHADO!D:D, F908,DETALHADO!C:C),"")</f>
        <v/>
      </c>
    </row>
    <row r="909" ht="15.75" customHeight="1">
      <c r="F909" s="69"/>
      <c r="G909" s="60" t="str">
        <f>IF(NOT(ISBLANK(F909)),SUMIF(DETALHADO!D:D, F909,DETALHADO!C:C),"")</f>
        <v/>
      </c>
    </row>
    <row r="910" ht="15.75" customHeight="1">
      <c r="F910" s="69"/>
      <c r="G910" s="60" t="str">
        <f>IF(NOT(ISBLANK(F910)),SUMIF(DETALHADO!D:D, F910,DETALHADO!C:C),"")</f>
        <v/>
      </c>
    </row>
    <row r="911" ht="15.75" customHeight="1">
      <c r="F911" s="69"/>
      <c r="G911" s="60" t="str">
        <f>IF(NOT(ISBLANK(F911)),SUMIF(DETALHADO!D:D, F911,DETALHADO!C:C),"")</f>
        <v/>
      </c>
    </row>
    <row r="912" ht="15.75" customHeight="1">
      <c r="F912" s="69"/>
      <c r="G912" s="60" t="str">
        <f>IF(NOT(ISBLANK(F912)),SUMIF(DETALHADO!D:D, F912,DETALHADO!C:C),"")</f>
        <v/>
      </c>
    </row>
    <row r="913" ht="15.75" customHeight="1">
      <c r="F913" s="69"/>
      <c r="G913" s="60" t="str">
        <f>IF(NOT(ISBLANK(F913)),SUMIF(DETALHADO!D:D, F913,DETALHADO!C:C),"")</f>
        <v/>
      </c>
    </row>
    <row r="914" ht="15.75" customHeight="1">
      <c r="F914" s="69"/>
      <c r="G914" s="60" t="str">
        <f>IF(NOT(ISBLANK(F914)),SUMIF(DETALHADO!D:D, F914,DETALHADO!C:C),"")</f>
        <v/>
      </c>
    </row>
    <row r="915" ht="15.75" customHeight="1">
      <c r="F915" s="69"/>
      <c r="G915" s="60" t="str">
        <f>IF(NOT(ISBLANK(F915)),SUMIF(DETALHADO!D:D, F915,DETALHADO!C:C),"")</f>
        <v/>
      </c>
    </row>
    <row r="916" ht="15.75" customHeight="1">
      <c r="F916" s="69"/>
      <c r="G916" s="60" t="str">
        <f>IF(NOT(ISBLANK(F916)),SUMIF(DETALHADO!D:D, F916,DETALHADO!C:C),"")</f>
        <v/>
      </c>
    </row>
    <row r="917" ht="15.75" customHeight="1">
      <c r="F917" s="69"/>
      <c r="G917" s="60" t="str">
        <f>IF(NOT(ISBLANK(F917)),SUMIF(DETALHADO!D:D, F917,DETALHADO!C:C),"")</f>
        <v/>
      </c>
    </row>
    <row r="918" ht="15.75" customHeight="1">
      <c r="F918" s="69"/>
      <c r="G918" s="60" t="str">
        <f>IF(NOT(ISBLANK(F918)),SUMIF(DETALHADO!D:D, F918,DETALHADO!C:C),"")</f>
        <v/>
      </c>
    </row>
    <row r="919" ht="15.75" customHeight="1">
      <c r="F919" s="69"/>
      <c r="G919" s="60" t="str">
        <f>IF(NOT(ISBLANK(F919)),SUMIF(DETALHADO!D:D, F919,DETALHADO!C:C),"")</f>
        <v/>
      </c>
    </row>
    <row r="920" ht="15.75" customHeight="1">
      <c r="F920" s="69"/>
      <c r="G920" s="60" t="str">
        <f>IF(NOT(ISBLANK(F920)),SUMIF(DETALHADO!D:D, F920,DETALHADO!C:C),"")</f>
        <v/>
      </c>
    </row>
    <row r="921" ht="15.75" customHeight="1">
      <c r="F921" s="69"/>
      <c r="G921" s="60" t="str">
        <f>IF(NOT(ISBLANK(F921)),SUMIF(DETALHADO!D:D, F921,DETALHADO!C:C),"")</f>
        <v/>
      </c>
    </row>
    <row r="922" ht="15.75" customHeight="1">
      <c r="F922" s="69"/>
      <c r="G922" s="60" t="str">
        <f>IF(NOT(ISBLANK(F922)),SUMIF(DETALHADO!D:D, F922,DETALHADO!C:C),"")</f>
        <v/>
      </c>
    </row>
    <row r="923" ht="15.75" customHeight="1">
      <c r="F923" s="69"/>
      <c r="G923" s="60" t="str">
        <f>IF(NOT(ISBLANK(F923)),SUMIF(DETALHADO!D:D, F923,DETALHADO!C:C),"")</f>
        <v/>
      </c>
    </row>
    <row r="924" ht="15.75" customHeight="1">
      <c r="F924" s="69"/>
      <c r="G924" s="60" t="str">
        <f>IF(NOT(ISBLANK(F924)),SUMIF(DETALHADO!D:D, F924,DETALHADO!C:C),"")</f>
        <v/>
      </c>
    </row>
    <row r="925" ht="15.75" customHeight="1">
      <c r="F925" s="69"/>
      <c r="G925" s="60" t="str">
        <f>IF(NOT(ISBLANK(F925)),SUMIF(DETALHADO!D:D, F925,DETALHADO!C:C),"")</f>
        <v/>
      </c>
    </row>
    <row r="926" ht="15.75" customHeight="1">
      <c r="F926" s="69"/>
      <c r="G926" s="60" t="str">
        <f>IF(NOT(ISBLANK(F926)),SUMIF(DETALHADO!D:D, F926,DETALHADO!C:C),"")</f>
        <v/>
      </c>
    </row>
    <row r="927" ht="15.75" customHeight="1">
      <c r="F927" s="69"/>
      <c r="G927" s="60" t="str">
        <f>IF(NOT(ISBLANK(F927)),SUMIF(DETALHADO!D:D, F927,DETALHADO!C:C),"")</f>
        <v/>
      </c>
    </row>
    <row r="928" ht="15.75" customHeight="1">
      <c r="F928" s="69"/>
      <c r="G928" s="60" t="str">
        <f>IF(NOT(ISBLANK(F928)),SUMIF(DETALHADO!D:D, F928,DETALHADO!C:C),"")</f>
        <v/>
      </c>
    </row>
    <row r="929" ht="15.75" customHeight="1">
      <c r="F929" s="69"/>
      <c r="G929" s="60" t="str">
        <f>IF(NOT(ISBLANK(F929)),SUMIF(DETALHADO!D:D, F929,DETALHADO!C:C),"")</f>
        <v/>
      </c>
    </row>
    <row r="930" ht="15.75" customHeight="1">
      <c r="F930" s="69"/>
      <c r="G930" s="60" t="str">
        <f>IF(NOT(ISBLANK(F930)),SUMIF(DETALHADO!D:D, F930,DETALHADO!C:C),"")</f>
        <v/>
      </c>
    </row>
    <row r="931" ht="15.75" customHeight="1">
      <c r="F931" s="69"/>
      <c r="G931" s="60" t="str">
        <f>IF(NOT(ISBLANK(F931)),SUMIF(DETALHADO!D:D, F931,DETALHADO!C:C),"")</f>
        <v/>
      </c>
    </row>
    <row r="932" ht="15.75" customHeight="1">
      <c r="F932" s="69"/>
      <c r="G932" s="60" t="str">
        <f>IF(NOT(ISBLANK(F932)),SUMIF(DETALHADO!D:D, F932,DETALHADO!C:C),"")</f>
        <v/>
      </c>
    </row>
    <row r="933" ht="15.75" customHeight="1">
      <c r="F933" s="69"/>
      <c r="G933" s="60" t="str">
        <f>IF(NOT(ISBLANK(F933)),SUMIF(DETALHADO!D:D, F933,DETALHADO!C:C),"")</f>
        <v/>
      </c>
    </row>
    <row r="934" ht="15.75" customHeight="1">
      <c r="F934" s="69"/>
      <c r="G934" s="60" t="str">
        <f>IF(NOT(ISBLANK(F934)),SUMIF(DETALHADO!D:D, F934,DETALHADO!C:C),"")</f>
        <v/>
      </c>
    </row>
    <row r="935" ht="15.75" customHeight="1">
      <c r="F935" s="69"/>
      <c r="G935" s="60" t="str">
        <f>IF(NOT(ISBLANK(F935)),SUMIF(DETALHADO!D:D, F935,DETALHADO!C:C),"")</f>
        <v/>
      </c>
    </row>
    <row r="936" ht="15.75" customHeight="1">
      <c r="F936" s="69"/>
      <c r="G936" s="60" t="str">
        <f>IF(NOT(ISBLANK(F936)),SUMIF(DETALHADO!D:D, F936,DETALHADO!C:C),"")</f>
        <v/>
      </c>
    </row>
    <row r="937" ht="15.75" customHeight="1">
      <c r="F937" s="69"/>
      <c r="G937" s="60" t="str">
        <f>IF(NOT(ISBLANK(F937)),SUMIF(DETALHADO!D:D, F937,DETALHADO!C:C),"")</f>
        <v/>
      </c>
    </row>
    <row r="938" ht="15.75" customHeight="1">
      <c r="F938" s="69"/>
      <c r="G938" s="60" t="str">
        <f>IF(NOT(ISBLANK(F938)),SUMIF(DETALHADO!D:D, F938,DETALHADO!C:C),"")</f>
        <v/>
      </c>
    </row>
    <row r="939" ht="15.75" customHeight="1">
      <c r="F939" s="69"/>
      <c r="G939" s="60" t="str">
        <f>IF(NOT(ISBLANK(F939)),SUMIF(DETALHADO!D:D, F939,DETALHADO!C:C),"")</f>
        <v/>
      </c>
    </row>
    <row r="940" ht="15.75" customHeight="1">
      <c r="F940" s="69"/>
      <c r="G940" s="60" t="str">
        <f>IF(NOT(ISBLANK(F940)),SUMIF(DETALHADO!D:D, F940,DETALHADO!C:C),"")</f>
        <v/>
      </c>
    </row>
    <row r="941" ht="15.75" customHeight="1">
      <c r="F941" s="69"/>
      <c r="G941" s="60" t="str">
        <f>IF(NOT(ISBLANK(F941)),SUMIF(DETALHADO!D:D, F941,DETALHADO!C:C),"")</f>
        <v/>
      </c>
    </row>
    <row r="942" ht="15.75" customHeight="1">
      <c r="F942" s="69"/>
      <c r="G942" s="60" t="str">
        <f>IF(NOT(ISBLANK(F942)),SUMIF(DETALHADO!D:D, F942,DETALHADO!C:C),"")</f>
        <v/>
      </c>
    </row>
    <row r="943" ht="15.75" customHeight="1">
      <c r="F943" s="69"/>
      <c r="G943" s="60" t="str">
        <f>IF(NOT(ISBLANK(F943)),SUMIF(DETALHADO!D:D, F943,DETALHADO!C:C),"")</f>
        <v/>
      </c>
    </row>
    <row r="944" ht="15.75" customHeight="1">
      <c r="F944" s="69"/>
      <c r="G944" s="60" t="str">
        <f>IF(NOT(ISBLANK(F944)),SUMIF(DETALHADO!D:D, F944,DETALHADO!C:C),"")</f>
        <v/>
      </c>
    </row>
    <row r="945" ht="15.75" customHeight="1">
      <c r="F945" s="69"/>
      <c r="G945" s="60" t="str">
        <f>IF(NOT(ISBLANK(F945)),SUMIF(DETALHADO!D:D, F945,DETALHADO!C:C),"")</f>
        <v/>
      </c>
    </row>
    <row r="946" ht="15.75" customHeight="1">
      <c r="F946" s="69"/>
      <c r="G946" s="60" t="str">
        <f>IF(NOT(ISBLANK(F946)),SUMIF(DETALHADO!D:D, F946,DETALHADO!C:C),"")</f>
        <v/>
      </c>
    </row>
    <row r="947" ht="15.75" customHeight="1">
      <c r="F947" s="69"/>
      <c r="G947" s="60" t="str">
        <f>IF(NOT(ISBLANK(F947)),SUMIF(DETALHADO!D:D, F947,DETALHADO!C:C),"")</f>
        <v/>
      </c>
    </row>
    <row r="948" ht="15.75" customHeight="1">
      <c r="F948" s="69"/>
      <c r="G948" s="60" t="str">
        <f>IF(NOT(ISBLANK(F948)),SUMIF(DETALHADO!D:D, F948,DETALHADO!C:C),"")</f>
        <v/>
      </c>
    </row>
    <row r="949" ht="15.75" customHeight="1">
      <c r="F949" s="69"/>
      <c r="G949" s="60" t="str">
        <f>IF(NOT(ISBLANK(F949)),SUMIF(DETALHADO!D:D, F949,DETALHADO!C:C),"")</f>
        <v/>
      </c>
    </row>
    <row r="950" ht="15.75" customHeight="1">
      <c r="F950" s="69"/>
      <c r="G950" s="60" t="str">
        <f>IF(NOT(ISBLANK(F950)),SUMIF(DETALHADO!D:D, F950,DETALHADO!C:C),"")</f>
        <v/>
      </c>
    </row>
    <row r="951" ht="15.75" customHeight="1">
      <c r="F951" s="69"/>
      <c r="G951" s="60" t="str">
        <f>IF(NOT(ISBLANK(F951)),SUMIF(DETALHADO!D:D, F951,DETALHADO!C:C),"")</f>
        <v/>
      </c>
    </row>
    <row r="952" ht="15.75" customHeight="1">
      <c r="F952" s="69"/>
      <c r="G952" s="60" t="str">
        <f>IF(NOT(ISBLANK(F952)),SUMIF(DETALHADO!D:D, F952,DETALHADO!C:C),"")</f>
        <v/>
      </c>
    </row>
    <row r="953" ht="15.75" customHeight="1">
      <c r="F953" s="69"/>
      <c r="G953" s="60" t="str">
        <f>IF(NOT(ISBLANK(F953)),SUMIF(DETALHADO!D:D, F953,DETALHADO!C:C),"")</f>
        <v/>
      </c>
    </row>
    <row r="954" ht="15.75" customHeight="1">
      <c r="F954" s="69"/>
      <c r="G954" s="60" t="str">
        <f>IF(NOT(ISBLANK(F954)),SUMIF(DETALHADO!D:D, F954,DETALHADO!C:C),"")</f>
        <v/>
      </c>
    </row>
    <row r="955" ht="15.75" customHeight="1">
      <c r="F955" s="69"/>
      <c r="G955" s="60" t="str">
        <f>IF(NOT(ISBLANK(F955)),SUMIF(DETALHADO!D:D, F955,DETALHADO!C:C),"")</f>
        <v/>
      </c>
    </row>
    <row r="956" ht="15.75" customHeight="1">
      <c r="F956" s="69"/>
      <c r="G956" s="60" t="str">
        <f>IF(NOT(ISBLANK(F956)),SUMIF(DETALHADO!D:D, F956,DETALHADO!C:C),"")</f>
        <v/>
      </c>
    </row>
    <row r="957" ht="15.75" customHeight="1">
      <c r="F957" s="69"/>
      <c r="G957" s="60" t="str">
        <f>IF(NOT(ISBLANK(F957)),SUMIF(DETALHADO!D:D, F957,DETALHADO!C:C),"")</f>
        <v/>
      </c>
    </row>
    <row r="958" ht="15.75" customHeight="1">
      <c r="F958" s="69"/>
      <c r="G958" s="60" t="str">
        <f>IF(NOT(ISBLANK(F958)),SUMIF(DETALHADO!D:D, F958,DETALHADO!C:C),"")</f>
        <v/>
      </c>
    </row>
    <row r="959" ht="15.75" customHeight="1">
      <c r="F959" s="69"/>
      <c r="G959" s="60" t="str">
        <f>IF(NOT(ISBLANK(F959)),SUMIF(DETALHADO!D:D, F959,DETALHADO!C:C),"")</f>
        <v/>
      </c>
    </row>
    <row r="960" ht="15.75" customHeight="1">
      <c r="F960" s="69"/>
      <c r="G960" s="60" t="str">
        <f>IF(NOT(ISBLANK(F960)),SUMIF(DETALHADO!D:D, F960,DETALHADO!C:C),"")</f>
        <v/>
      </c>
    </row>
    <row r="961" ht="15.75" customHeight="1">
      <c r="F961" s="69"/>
      <c r="G961" s="60" t="str">
        <f>IF(NOT(ISBLANK(F961)),SUMIF(DETALHADO!D:D, F961,DETALHADO!C:C),"")</f>
        <v/>
      </c>
    </row>
    <row r="962" ht="15.75" customHeight="1">
      <c r="F962" s="69"/>
      <c r="G962" s="60" t="str">
        <f>IF(NOT(ISBLANK(F962)),SUMIF(DETALHADO!D:D, F962,DETALHADO!C:C),"")</f>
        <v/>
      </c>
    </row>
    <row r="963" ht="15.75" customHeight="1">
      <c r="F963" s="69"/>
      <c r="G963" s="60" t="str">
        <f>IF(NOT(ISBLANK(F963)),SUMIF(DETALHADO!D:D, F963,DETALHADO!C:C),"")</f>
        <v/>
      </c>
    </row>
    <row r="964" ht="15.75" customHeight="1">
      <c r="F964" s="69"/>
      <c r="G964" s="60" t="str">
        <f>IF(NOT(ISBLANK(F964)),SUMIF(DETALHADO!D:D, F964,DETALHADO!C:C),"")</f>
        <v/>
      </c>
    </row>
    <row r="965" ht="15.75" customHeight="1">
      <c r="F965" s="69"/>
      <c r="G965" s="60" t="str">
        <f>IF(NOT(ISBLANK(F965)),SUMIF(DETALHADO!D:D, F965,DETALHADO!C:C),"")</f>
        <v/>
      </c>
    </row>
    <row r="966" ht="15.75" customHeight="1">
      <c r="F966" s="69"/>
      <c r="G966" s="60" t="str">
        <f>IF(NOT(ISBLANK(F966)),SUMIF(DETALHADO!D:D, F966,DETALHADO!C:C),"")</f>
        <v/>
      </c>
    </row>
    <row r="967" ht="15.75" customHeight="1">
      <c r="F967" s="69"/>
      <c r="G967" s="60" t="str">
        <f>IF(NOT(ISBLANK(F967)),SUMIF(DETALHADO!D:D, F967,DETALHADO!C:C),"")</f>
        <v/>
      </c>
    </row>
    <row r="968" ht="15.75" customHeight="1">
      <c r="F968" s="69"/>
      <c r="G968" s="60" t="str">
        <f>IF(NOT(ISBLANK(F968)),SUMIF(DETALHADO!D:D, F968,DETALHADO!C:C),"")</f>
        <v/>
      </c>
    </row>
    <row r="969" ht="15.75" customHeight="1">
      <c r="F969" s="69"/>
      <c r="G969" s="60" t="str">
        <f>IF(NOT(ISBLANK(F969)),SUMIF(DETALHADO!D:D, F969,DETALHADO!C:C),"")</f>
        <v/>
      </c>
    </row>
    <row r="970" ht="15.75" customHeight="1">
      <c r="F970" s="69"/>
      <c r="G970" s="60" t="str">
        <f>IF(NOT(ISBLANK(F970)),SUMIF(DETALHADO!D:D, F970,DETALHADO!C:C),"")</f>
        <v/>
      </c>
    </row>
    <row r="971" ht="15.75" customHeight="1">
      <c r="F971" s="69"/>
      <c r="G971" s="60" t="str">
        <f>IF(NOT(ISBLANK(F971)),SUMIF(DETALHADO!D:D, F971,DETALHADO!C:C),"")</f>
        <v/>
      </c>
    </row>
    <row r="972" ht="15.75" customHeight="1">
      <c r="F972" s="69"/>
      <c r="G972" s="60" t="str">
        <f>IF(NOT(ISBLANK(F972)),SUMIF(DETALHADO!D:D, F972,DETALHADO!C:C),"")</f>
        <v/>
      </c>
    </row>
    <row r="973" ht="15.75" customHeight="1">
      <c r="F973" s="69"/>
      <c r="G973" s="60" t="str">
        <f>IF(NOT(ISBLANK(F973)),SUMIF(DETALHADO!D:D, F973,DETALHADO!C:C),"")</f>
        <v/>
      </c>
    </row>
    <row r="974" ht="15.75" customHeight="1">
      <c r="F974" s="69"/>
      <c r="G974" s="60" t="str">
        <f>IF(NOT(ISBLANK(F974)),SUMIF(DETALHADO!D:D, F974,DETALHADO!C:C),"")</f>
        <v/>
      </c>
    </row>
    <row r="975" ht="15.75" customHeight="1">
      <c r="F975" s="69"/>
      <c r="G975" s="60" t="str">
        <f>IF(NOT(ISBLANK(F975)),SUMIF(DETALHADO!D:D, F975,DETALHADO!C:C),"")</f>
        <v/>
      </c>
    </row>
    <row r="976" ht="15.75" customHeight="1">
      <c r="F976" s="69"/>
      <c r="G976" s="60" t="str">
        <f>IF(NOT(ISBLANK(F976)),SUMIF(DETALHADO!D:D, F976,DETALHADO!C:C),"")</f>
        <v/>
      </c>
    </row>
    <row r="977" ht="15.75" customHeight="1">
      <c r="F977" s="69"/>
      <c r="G977" s="60" t="str">
        <f>IF(NOT(ISBLANK(F977)),SUMIF(DETALHADO!D:D, F977,DETALHADO!C:C),"")</f>
        <v/>
      </c>
    </row>
    <row r="978" ht="15.75" customHeight="1">
      <c r="F978" s="69"/>
      <c r="G978" s="60" t="str">
        <f>IF(NOT(ISBLANK(F978)),SUMIF(DETALHADO!D:D, F978,DETALHADO!C:C),"")</f>
        <v/>
      </c>
    </row>
    <row r="979" ht="15.75" customHeight="1">
      <c r="F979" s="69"/>
      <c r="G979" s="60" t="str">
        <f>IF(NOT(ISBLANK(F979)),SUMIF(DETALHADO!D:D, F979,DETALHADO!C:C),"")</f>
        <v/>
      </c>
    </row>
    <row r="980" ht="15.75" customHeight="1">
      <c r="F980" s="69"/>
      <c r="G980" s="60" t="str">
        <f>IF(NOT(ISBLANK(F980)),SUMIF(DETALHADO!D:D, F980,DETALHADO!C:C),"")</f>
        <v/>
      </c>
    </row>
    <row r="981" ht="15.75" customHeight="1">
      <c r="F981" s="69"/>
      <c r="G981" s="60" t="str">
        <f>IF(NOT(ISBLANK(F981)),SUMIF(DETALHADO!D:D, F981,DETALHADO!C:C),"")</f>
        <v/>
      </c>
    </row>
    <row r="982" ht="15.75" customHeight="1">
      <c r="F982" s="69"/>
      <c r="G982" s="60" t="str">
        <f>IF(NOT(ISBLANK(F982)),SUMIF(DETALHADO!D:D, F982,DETALHADO!C:C),"")</f>
        <v/>
      </c>
    </row>
    <row r="983" ht="15.75" customHeight="1">
      <c r="F983" s="69"/>
      <c r="G983" s="60" t="str">
        <f>IF(NOT(ISBLANK(F983)),SUMIF(DETALHADO!D:D, F983,DETALHADO!C:C),"")</f>
        <v/>
      </c>
    </row>
    <row r="984" ht="15.75" customHeight="1">
      <c r="F984" s="69"/>
      <c r="G984" s="60" t="str">
        <f>IF(NOT(ISBLANK(F984)),SUMIF(DETALHADO!D:D, F984,DETALHADO!C:C),"")</f>
        <v/>
      </c>
    </row>
    <row r="985" ht="15.75" customHeight="1">
      <c r="F985" s="69"/>
      <c r="G985" s="60" t="str">
        <f>IF(NOT(ISBLANK(F985)),SUMIF(DETALHADO!D:D, F985,DETALHADO!C:C),"")</f>
        <v/>
      </c>
    </row>
    <row r="986" ht="15.75" customHeight="1">
      <c r="F986" s="69"/>
      <c r="G986" s="60" t="str">
        <f>IF(NOT(ISBLANK(F986)),SUMIF(DETALHADO!D:D, F986,DETALHADO!C:C),"")</f>
        <v/>
      </c>
    </row>
    <row r="987" ht="15.75" customHeight="1">
      <c r="F987" s="69"/>
      <c r="G987" s="60" t="str">
        <f>IF(NOT(ISBLANK(F987)),SUMIF(DETALHADO!D:D, F987,DETALHADO!C:C),"")</f>
        <v/>
      </c>
    </row>
    <row r="988" ht="15.75" customHeight="1">
      <c r="F988" s="69"/>
      <c r="G988" s="60" t="str">
        <f>IF(NOT(ISBLANK(F988)),SUMIF(DETALHADO!D:D, F988,DETALHADO!C:C),"")</f>
        <v/>
      </c>
    </row>
    <row r="989" ht="15.75" customHeight="1">
      <c r="F989" s="69"/>
      <c r="G989" s="60" t="str">
        <f>IF(NOT(ISBLANK(F989)),SUMIF(DETALHADO!D:D, F989,DETALHADO!C:C),"")</f>
        <v/>
      </c>
    </row>
    <row r="990" ht="15.75" customHeight="1">
      <c r="F990" s="69"/>
      <c r="G990" s="60" t="str">
        <f>IF(NOT(ISBLANK(F990)),SUMIF(DETALHADO!D:D, F990,DETALHADO!C:C),"")</f>
        <v/>
      </c>
    </row>
    <row r="991" ht="15.75" customHeight="1">
      <c r="F991" s="69"/>
      <c r="G991" s="60" t="str">
        <f>IF(NOT(ISBLANK(F991)),SUMIF(DETALHADO!D:D, F991,DETALHADO!C:C),"")</f>
        <v/>
      </c>
    </row>
    <row r="992" ht="15.75" customHeight="1">
      <c r="F992" s="69"/>
      <c r="G992" s="60" t="str">
        <f>IF(NOT(ISBLANK(F992)),SUMIF(DETALHADO!D:D, F992,DETALHADO!C:C),"")</f>
        <v/>
      </c>
    </row>
    <row r="993" ht="15.75" customHeight="1">
      <c r="F993" s="69"/>
      <c r="G993" s="60" t="str">
        <f>IF(NOT(ISBLANK(F993)),SUMIF(DETALHADO!D:D, F993,DETALHADO!C:C),"")</f>
        <v/>
      </c>
    </row>
    <row r="994" ht="15.75" customHeight="1">
      <c r="F994" s="69"/>
      <c r="G994" s="60" t="str">
        <f>IF(NOT(ISBLANK(F994)),SUMIF(DETALHADO!D:D, F994,DETALHADO!C:C),"")</f>
        <v/>
      </c>
    </row>
    <row r="995" ht="15.75" customHeight="1">
      <c r="F995" s="69"/>
      <c r="G995" s="60" t="str">
        <f>IF(NOT(ISBLANK(F995)),SUMIF(DETALHADO!D:D, F995,DETALHADO!C:C),"")</f>
        <v/>
      </c>
    </row>
    <row r="996" ht="15.75" customHeight="1">
      <c r="F996" s="69"/>
      <c r="G996" s="60" t="str">
        <f>IF(NOT(ISBLANK(F996)),SUMIF(DETALHADO!D:D, F996,DETALHADO!C:C),"")</f>
        <v/>
      </c>
    </row>
    <row r="997" ht="15.75" customHeight="1">
      <c r="F997" s="69"/>
      <c r="G997" s="60" t="str">
        <f>IF(NOT(ISBLANK(F997)),SUMIF(DETALHADO!D:D, F997,DETALHADO!C:C),"")</f>
        <v/>
      </c>
    </row>
    <row r="998" ht="15.75" customHeight="1">
      <c r="F998" s="69"/>
      <c r="G998" s="60" t="str">
        <f>IF(NOT(ISBLANK(F998)),SUMIF(DETALHADO!D:D, F998,DETALHADO!C:C),"")</f>
        <v/>
      </c>
    </row>
    <row r="999" ht="15.75" customHeight="1">
      <c r="F999" s="69"/>
      <c r="G999" s="60" t="str">
        <f>IF(NOT(ISBLANK(F999)),SUMIF(DETALHADO!D:D, F999,DETALHADO!C:C),"")</f>
        <v/>
      </c>
    </row>
    <row r="1000" ht="15.75" customHeight="1">
      <c r="F1000" s="69"/>
      <c r="G1000" s="60" t="str">
        <f>IF(NOT(ISBLANK(F1000)),SUMIF(DETALHADO!D:D, F1000,DETALHADO!C:C),"")</f>
        <v/>
      </c>
    </row>
  </sheetData>
  <dataValidations>
    <dataValidation type="custom" allowBlank="1" showDropDown="1" sqref="B4:B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